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13_ncr:1_{EE81856C-AD11-4B97-B7EB-963BA881B991}" xr6:coauthVersionLast="47" xr6:coauthVersionMax="47" xr10:uidLastSave="{00000000-0000-0000-0000-000000000000}"/>
  <bookViews>
    <workbookView xWindow="-110" yWindow="-110" windowWidth="19420" windowHeight="10300" tabRatio="500" firstSheet="2" activeTab="5" xr2:uid="{00000000-000D-0000-FFFF-FFFF00000000}"/>
  </bookViews>
  <sheets>
    <sheet name="Dashboard" sheetId="1" r:id="rId1"/>
    <sheet name="Rep_1" sheetId="2" r:id="rId2"/>
    <sheet name="Rep_2" sheetId="3" r:id="rId3"/>
    <sheet name="Rep_3" sheetId="4" r:id="rId4"/>
    <sheet name="All_Deals" sheetId="5" r:id="rId5"/>
    <sheet name="Settings" sheetId="6" r:id="rId6"/>
    <sheet name="Apps_Script_Cod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4" l="1"/>
  <c r="G8" i="4"/>
  <c r="G7" i="4"/>
  <c r="G6" i="4"/>
  <c r="G9" i="4" s="1"/>
  <c r="G5" i="4"/>
  <c r="G4" i="4"/>
  <c r="G3" i="4"/>
  <c r="F58" i="1" s="1"/>
  <c r="G9" i="3"/>
  <c r="D9" i="3"/>
  <c r="G8" i="3"/>
  <c r="G7" i="3"/>
  <c r="G6" i="3"/>
  <c r="L15" i="1" s="1"/>
  <c r="G5" i="3"/>
  <c r="G4" i="3"/>
  <c r="G3" i="3"/>
  <c r="G9" i="2"/>
  <c r="D9" i="2"/>
  <c r="G8" i="2"/>
  <c r="G7" i="2"/>
  <c r="G6" i="2"/>
  <c r="G5" i="2"/>
  <c r="G4" i="2"/>
  <c r="G3" i="2"/>
  <c r="F56" i="1" s="1"/>
  <c r="B60" i="1"/>
  <c r="B59" i="1"/>
  <c r="G58" i="1"/>
  <c r="E58" i="1"/>
  <c r="B58" i="1"/>
  <c r="G57" i="1"/>
  <c r="E57" i="1"/>
  <c r="B57" i="1"/>
  <c r="G56" i="1"/>
  <c r="E56" i="1"/>
  <c r="B56" i="1"/>
  <c r="H18" i="1"/>
  <c r="F18" i="1"/>
  <c r="D18" i="1"/>
  <c r="H17" i="1"/>
  <c r="F17" i="1"/>
  <c r="D17" i="1"/>
  <c r="P16" i="1"/>
  <c r="N16" i="1"/>
  <c r="K16" i="1"/>
  <c r="H16" i="1"/>
  <c r="F16" i="1"/>
  <c r="D16" i="1"/>
  <c r="D19" i="1" s="1"/>
  <c r="P15" i="1"/>
  <c r="N15" i="1"/>
  <c r="K15" i="1"/>
  <c r="H15" i="1"/>
  <c r="F15" i="1"/>
  <c r="D15" i="1"/>
  <c r="P14" i="1"/>
  <c r="N14" i="1"/>
  <c r="N17" i="1" s="1"/>
  <c r="L14" i="1"/>
  <c r="K14" i="1"/>
  <c r="K17" i="1" s="1"/>
  <c r="H14" i="1"/>
  <c r="H19" i="1" s="1"/>
  <c r="F14" i="1"/>
  <c r="F19" i="1" s="1"/>
  <c r="D14" i="1"/>
  <c r="N8" i="1"/>
  <c r="J8" i="1"/>
  <c r="B8" i="1"/>
  <c r="F57" i="1" l="1"/>
  <c r="L16" i="1"/>
  <c r="L17" i="1" s="1"/>
  <c r="F8" i="1"/>
</calcChain>
</file>

<file path=xl/sharedStrings.xml><?xml version="1.0" encoding="utf-8"?>
<sst xmlns="http://schemas.openxmlformats.org/spreadsheetml/2006/main" count="454" uniqueCount="272">
  <si>
    <t>📊  SALES PERFORMANCE DASHBOARD</t>
  </si>
  <si>
    <t>SaaS CRM Analytics</t>
  </si>
  <si>
    <t>Real-time pipeline tracking  ·  Multi-rep performance  ·  Revenue forecasting</t>
  </si>
  <si>
    <t>💰</t>
  </si>
  <si>
    <t>📈</t>
  </si>
  <si>
    <t>✅</t>
  </si>
  <si>
    <t>📦</t>
  </si>
  <si>
    <t>TOTAL PIPELINE</t>
  </si>
  <si>
    <t>PROJECTED REVENUE</t>
  </si>
  <si>
    <t>CLOSED REVENUE</t>
  </si>
  <si>
    <t>TOTAL DEALS</t>
  </si>
  <si>
    <t xml:space="preserve">  ▶  PIPELINE BY STAGE</t>
  </si>
  <si>
    <t xml:space="preserve">  ▶  REP PERFORMANCE</t>
  </si>
  <si>
    <t>Stage</t>
  </si>
  <si>
    <t>Deals</t>
  </si>
  <si>
    <t>Total Value ($)</t>
  </si>
  <si>
    <t>Forecast ($)</t>
  </si>
  <si>
    <t>Rep</t>
  </si>
  <si>
    <t>Pipeline ($)</t>
  </si>
  <si>
    <t>Closed ($)</t>
  </si>
  <si>
    <t>vs Target</t>
  </si>
  <si>
    <t>Lead</t>
  </si>
  <si>
    <t>Rep 1</t>
  </si>
  <si>
    <t>Proposal</t>
  </si>
  <si>
    <t>Rep 2</t>
  </si>
  <si>
    <t>Negotiation</t>
  </si>
  <si>
    <t>Rep 3</t>
  </si>
  <si>
    <t>Closed-Won</t>
  </si>
  <si>
    <t>TOTAL</t>
  </si>
  <si>
    <t>Closed-Lost</t>
  </si>
  <si>
    <t xml:space="preserve">  ▶  PIPELINE BY STAGE — CHART</t>
  </si>
  <si>
    <t xml:space="preserve">  ▶  REVENUE BY REP — CHART</t>
  </si>
  <si>
    <t>Sales CRM Dashboard  ·  All values auto-calculated from Rep_1 / Rep_2 / Rep_3 tabs  ·  Update deals in rep sheets to refresh</t>
  </si>
  <si>
    <t>Value</t>
  </si>
  <si>
    <t>Pipeline</t>
  </si>
  <si>
    <t>Forecast</t>
  </si>
  <si>
    <t>Closed</t>
  </si>
  <si>
    <t>📊  Rep 1 — Deal Pipeline</t>
  </si>
  <si>
    <t>Deal Name</t>
  </si>
  <si>
    <t>Client</t>
  </si>
  <si>
    <t>Close Date</t>
  </si>
  <si>
    <t>Deal Value</t>
  </si>
  <si>
    <t>Probability</t>
  </si>
  <si>
    <t>Website Revamp</t>
  </si>
  <si>
    <t>ABC Ltd</t>
  </si>
  <si>
    <t>2026-05-30</t>
  </si>
  <si>
    <t>Mobile App Development</t>
  </si>
  <si>
    <t>XYZ Corp</t>
  </si>
  <si>
    <t>2026-06-15</t>
  </si>
  <si>
    <t>SEO Optimization</t>
  </si>
  <si>
    <t>Bright Media</t>
  </si>
  <si>
    <t>2026-06-20</t>
  </si>
  <si>
    <t>CRM Integration</t>
  </si>
  <si>
    <t>NextGen Ltd</t>
  </si>
  <si>
    <t>2026-05-28</t>
  </si>
  <si>
    <t>Website Redesign</t>
  </si>
  <si>
    <t>Creative Studio</t>
  </si>
  <si>
    <t>2026-06-18</t>
  </si>
  <si>
    <t>E-commerce Setup</t>
  </si>
  <si>
    <t>2026-06-25</t>
  </si>
  <si>
    <t>TOTALS</t>
  </si>
  <si>
    <t>📊  Rep 2 — Deal Pipeline</t>
  </si>
  <si>
    <t>Data Dashboard</t>
  </si>
  <si>
    <t>Insight Inc</t>
  </si>
  <si>
    <t>2026-05-29</t>
  </si>
  <si>
    <t>Automation System</t>
  </si>
  <si>
    <t>AutoFlow</t>
  </si>
  <si>
    <t>2026-06-22</t>
  </si>
  <si>
    <t>Cloud Migration</t>
  </si>
  <si>
    <t>Prime Tech</t>
  </si>
  <si>
    <t>2026-06-19</t>
  </si>
  <si>
    <t>Financial Software</t>
  </si>
  <si>
    <t>FinCore</t>
  </si>
  <si>
    <t>2026-05-27</t>
  </si>
  <si>
    <t>Marketing Campaign</t>
  </si>
  <si>
    <t>MarketPro</t>
  </si>
  <si>
    <t>2026-06-24</t>
  </si>
  <si>
    <t>Retail Platform</t>
  </si>
  <si>
    <t>RetailHub</t>
  </si>
  <si>
    <t>2026-06-21</t>
  </si>
  <si>
    <t>📊  Rep 3 — Deal Pipeline</t>
  </si>
  <si>
    <t>Analytics Platform</t>
  </si>
  <si>
    <t>DataWorks</t>
  </si>
  <si>
    <t>2026-05-26</t>
  </si>
  <si>
    <t>Construction ERP</t>
  </si>
  <si>
    <t>BuildTech</t>
  </si>
  <si>
    <t>2026-06-23</t>
  </si>
  <si>
    <t>Brand Strategy</t>
  </si>
  <si>
    <t>Brandify</t>
  </si>
  <si>
    <t>Cloud Infrastructure</t>
  </si>
  <si>
    <t>CloudNet</t>
  </si>
  <si>
    <t>2026-05-25</t>
  </si>
  <si>
    <t>UI/UX Redesign</t>
  </si>
  <si>
    <t>DesignPro</t>
  </si>
  <si>
    <t>2026-06-26</t>
  </si>
  <si>
    <t>Retail Expansion</t>
  </si>
  <si>
    <t>ShopSmart</t>
  </si>
  <si>
    <t>2026-06-28</t>
  </si>
  <si>
    <t>📋  Master Deal List — All Reps</t>
  </si>
  <si>
    <t>⚙️  Configuration Settings</t>
  </si>
  <si>
    <t>Recipient Email</t>
  </si>
  <si>
    <t>reports@company.com</t>
  </si>
  <si>
    <t>Email Subject</t>
  </si>
  <si>
    <t>Weekly Sales Dashboard Report</t>
  </si>
  <si>
    <t>Stage Probability Table</t>
  </si>
  <si>
    <t>Sales Targets</t>
  </si>
  <si>
    <t>Monthly Target ($)</t>
  </si>
  <si>
    <t>Rep_1</t>
  </si>
  <si>
    <t>Rep_2</t>
  </si>
  <si>
    <t>Rep_3</t>
  </si>
  <si>
    <t>📜  Google Apps Script — Copy this code into Extensions &gt; Apps Script</t>
  </si>
  <si>
    <t>/**</t>
  </si>
  <si>
    <t xml:space="preserve"> * ============================================================</t>
  </si>
  <si>
    <t xml:space="preserve"> *  Sales Team Tracking Tool — Google Apps Script</t>
  </si>
  <si>
    <t xml:space="preserve"> *  Bound to: Sales_Tracker spreadsheet</t>
  </si>
  <si>
    <t xml:space="preserve"> */</t>
  </si>
  <si>
    <t>// ── CONSTANTS ─────────────────────────────────────────────</t>
  </si>
  <si>
    <t>const SETTINGS_SHEET = "Settings";</t>
  </si>
  <si>
    <t>const DASHBOARD_SHEET = "Dashboard";</t>
  </si>
  <si>
    <t>const EMAIL_CELL      = "B3";   // Recipient email in Settings</t>
  </si>
  <si>
    <t>const SUBJECT_CELL    = "B4";   // Email subject in Settings</t>
  </si>
  <si>
    <t>// ── MENU ──────────────────────────────────────────────────</t>
  </si>
  <si>
    <t xml:space="preserve"> * Adds custom "Admin Tools" menu on spreadsheet open.</t>
  </si>
  <si>
    <t>function onOpen() {</t>
  </si>
  <si>
    <t xml:space="preserve">  SpreadsheetApp.getUi()</t>
  </si>
  <si>
    <t xml:space="preserve">    .createMenu("Admin Tools")</t>
  </si>
  <si>
    <t xml:space="preserve">    .addItem("Send Report Now", "sendWeeklyReport")</t>
  </si>
  <si>
    <t xml:space="preserve">    .addSeparator()</t>
  </si>
  <si>
    <t xml:space="preserve">    .addItem("Install Weekly Auto-Trigger", "installWeeklyTrigger")</t>
  </si>
  <si>
    <t xml:space="preserve">    .addItem("Remove All Triggers", "removeTriggers")</t>
  </si>
  <si>
    <t xml:space="preserve">    .addToUi();</t>
  </si>
  <si>
    <t>}</t>
  </si>
  <si>
    <t>// ── PDF GENERATION &amp; EMAILING ────────────────────────────</t>
  </si>
  <si>
    <t xml:space="preserve"> * Converts the Dashboard tab to a PDF and emails it.</t>
  </si>
  <si>
    <t xml:space="preserve"> * Email address and subject are read from the Settings tab.</t>
  </si>
  <si>
    <t>function sendWeeklyReport() {</t>
  </si>
  <si>
    <t xml:space="preserve">  const ss      = SpreadsheetApp.getActiveSpreadsheet();</t>
  </si>
  <si>
    <t xml:space="preserve">  const settings = ss.getSheetByName(SETTINGS_SHEET);</t>
  </si>
  <si>
    <t xml:space="preserve">  // Pull config from Settings tab (no hardcoded values in script)</t>
  </si>
  <si>
    <t xml:space="preserve">  const recipientEmail = settings.getRange(EMAIL_CELL).getValue();</t>
  </si>
  <si>
    <t xml:space="preserve">  const emailSubject   = settings.getRange(SUBJECT_CELL).getValue();</t>
  </si>
  <si>
    <t xml:space="preserve">  if (!recipientEmail) {</t>
  </si>
  <si>
    <t xml:space="preserve">    SpreadsheetApp.getUi().alert("⚠️ No recipient email found in Settings tab (cell B3).");</t>
  </si>
  <si>
    <t xml:space="preserve">    return;</t>
  </si>
  <si>
    <t xml:space="preserve">  }</t>
  </si>
  <si>
    <t xml:space="preserve">  // Generate PDF of Dashboard sheet only</t>
  </si>
  <si>
    <t xml:space="preserve">  const pdfBlob = exportDashboardAsPdf(ss);</t>
  </si>
  <si>
    <t xml:space="preserve">  const dateStr = Utilities.formatDate(new Date(), Session.getScriptTimeZone(), "yyyy-MM-dd");</t>
  </si>
  <si>
    <t xml:space="preserve">  // Compose and send email</t>
  </si>
  <si>
    <t xml:space="preserve">  GmailApp.sendEmail(</t>
  </si>
  <si>
    <t xml:space="preserve">    recipientEmail,</t>
  </si>
  <si>
    <t xml:space="preserve">    emailSubject,</t>
  </si>
  <si>
    <t xml:space="preserve">    "",   // plain-text body (empty — PDF is the content)</t>
  </si>
  <si>
    <t xml:space="preserve">    {</t>
  </si>
  <si>
    <t xml:space="preserve">      htmlBody: buildEmailBody(dateStr),</t>
  </si>
  <si>
    <t xml:space="preserve">      attachments: [pdfBlob.setName(`Sales_Report_${dateStr}.pdf`)],</t>
  </si>
  <si>
    <t xml:space="preserve">      name: "Sales Reporting Bot"</t>
  </si>
  <si>
    <t xml:space="preserve">    }</t>
  </si>
  <si>
    <t xml:space="preserve">  );</t>
  </si>
  <si>
    <t xml:space="preserve">  Logger.log(`Report sent to ${recipientEmail} on ${dateStr}`);</t>
  </si>
  <si>
    <t xml:space="preserve">  SpreadsheetApp.getActiveSpreadsheet().toast(</t>
  </si>
  <si>
    <t xml:space="preserve">    `✅ Report emailed to ${recipientEmail}`, "Success", 5</t>
  </si>
  <si>
    <t xml:space="preserve"> * Exports only the Dashboard sheet as a PDF blob.</t>
  </si>
  <si>
    <t xml:space="preserve"> * @param {Spreadsheet} ss - Active spreadsheet.</t>
  </si>
  <si>
    <t xml:space="preserve"> * @returns {Blob} PDF blob.</t>
  </si>
  <si>
    <t>function exportDashboardAsPdf(ss) {</t>
  </si>
  <si>
    <t xml:space="preserve">  const dashSheet = ss.getSheetByName(DASHBOARD_SHEET);</t>
  </si>
  <si>
    <t xml:space="preserve">  const ssId      = ss.getId();</t>
  </si>
  <si>
    <t xml:space="preserve">  const sheetId   = dashSheet.getSheetId();</t>
  </si>
  <si>
    <t xml:space="preserve">  // URL parameters for PDF export (Dashboard tab only, A4 landscape, fit to page)</t>
  </si>
  <si>
    <t xml:space="preserve">  const url = `https://docs.google.com/spreadsheets/d/${ssId}/export`</t>
  </si>
  <si>
    <t xml:space="preserve">    + `?format=pdf`</t>
  </si>
  <si>
    <t xml:space="preserve">    + `&amp;size=A4`</t>
  </si>
  <si>
    <t xml:space="preserve">    + `&amp;portrait=false`</t>
  </si>
  <si>
    <t xml:space="preserve">    + `&amp;fitw=true`</t>
  </si>
  <si>
    <t xml:space="preserve">    + `&amp;fith=true`</t>
  </si>
  <si>
    <t xml:space="preserve">    + `&amp;top_margin=0.5`</t>
  </si>
  <si>
    <t xml:space="preserve">    + `&amp;bottom_margin=0.5`</t>
  </si>
  <si>
    <t xml:space="preserve">    + `&amp;left_margin=0.5`</t>
  </si>
  <si>
    <t xml:space="preserve">    + `&amp;right_margin=0.5`</t>
  </si>
  <si>
    <t xml:space="preserve">    + `&amp;sheetnames=false`</t>
  </si>
  <si>
    <t xml:space="preserve">    + `&amp;printtitle=false`</t>
  </si>
  <si>
    <t xml:space="preserve">    + `&amp;pagenumbers=false`</t>
  </si>
  <si>
    <t xml:space="preserve">    + `&amp;gridlines=false`</t>
  </si>
  <si>
    <t xml:space="preserve">    + `&amp;fzr=false`</t>
  </si>
  <si>
    <t xml:space="preserve">    + `&amp;gid=${sheetId}`;   // Only export this sheet</t>
  </si>
  <si>
    <t xml:space="preserve">  const token    = ScriptApp.getOAuthToken();</t>
  </si>
  <si>
    <t xml:space="preserve">  const response = UrlFetchApp.fetch(url, {</t>
  </si>
  <si>
    <t xml:space="preserve">    headers: { Authorization: `Bearer ${token}` }</t>
  </si>
  <si>
    <t xml:space="preserve">  });</t>
  </si>
  <si>
    <t xml:space="preserve">  return response.getBlob().setContentType("application/pdf");</t>
  </si>
  <si>
    <t xml:space="preserve"> * Builds a simple HTML email body.</t>
  </si>
  <si>
    <t xml:space="preserve"> * @param {string} dateStr - Formatted date string.</t>
  </si>
  <si>
    <t xml:space="preserve"> * @returns {string} HTML string.</t>
  </si>
  <si>
    <t>function buildEmailBody(dateStr) {</t>
  </si>
  <si>
    <t xml:space="preserve">  return `</t>
  </si>
  <si>
    <t xml:space="preserve">    &lt;div style="font-family:Arial,sans-serif;max-width:600px;margin:0 auto"&gt;</t>
  </si>
  <si>
    <t xml:space="preserve">      &lt;div style="background:#1A2744;padding:20px;border-radius:8px 8px 0 0"&gt;</t>
  </si>
  <si>
    <t xml:space="preserve">        &lt;h2 style="color:#fff;margin:0"&gt;📊 Weekly Sales Report&lt;/h2&gt;</t>
  </si>
  <si>
    <t xml:space="preserve">        &lt;p style="color:#93C5FD;margin:4px 0 0"&gt;Generated: ${dateStr}&lt;/p&gt;</t>
  </si>
  <si>
    <t xml:space="preserve">      &lt;/div&gt;</t>
  </si>
  <si>
    <t xml:space="preserve">      &lt;div style="background:#F3F6FC;padding:20px;border-radius:0 0 8px 8px"&gt;</t>
  </si>
  <si>
    <t xml:space="preserve">        &lt;p style="color:#1E293B"&gt;Please find attached the weekly Sales Performance Dashboard PDF.&lt;/p&gt;</t>
  </si>
  <si>
    <t xml:space="preserve">        &lt;p style="color:#64748B;font-size:12px"&gt;</t>
  </si>
  <si>
    <t xml:space="preserve">          This is an automated report. Do not reply to this email.&lt;br&gt;</t>
  </si>
  <si>
    <t xml:space="preserve">          To update the recipient or subject, edit the &lt;strong&gt;Settings&lt;/strong&gt; tab.</t>
  </si>
  <si>
    <t xml:space="preserve">        &lt;/p&gt;</t>
  </si>
  <si>
    <t xml:space="preserve">    &lt;/div&gt;</t>
  </si>
  <si>
    <t xml:space="preserve">  `;</t>
  </si>
  <si>
    <t>// ── TRIGGERS ─────────────────────────────────────────────</t>
  </si>
  <si>
    <t xml:space="preserve"> * Installs a weekly time-driven trigger: every Friday at 14:00.</t>
  </si>
  <si>
    <t xml:space="preserve"> * Safe to call multiple times — removes existing triggers first.</t>
  </si>
  <si>
    <t>function installWeeklyTrigger() {</t>
  </si>
  <si>
    <t xml:space="preserve">  removeTriggers();   // clean slate</t>
  </si>
  <si>
    <t xml:space="preserve">  ScriptApp.newTrigger("sendWeeklyReport")</t>
  </si>
  <si>
    <t xml:space="preserve">    .timeBased()</t>
  </si>
  <si>
    <t xml:space="preserve">    .onWeekDay(ScriptApp.WeekDay.FRIDAY)</t>
  </si>
  <si>
    <t xml:space="preserve">    .atHour(14)          // 14:00 (2 PM)</t>
  </si>
  <si>
    <t xml:space="preserve">    .nearMinute(0)</t>
  </si>
  <si>
    <t xml:space="preserve">    .create();</t>
  </si>
  <si>
    <t xml:space="preserve">    "✅ Weekly trigger set: Every Friday at 2:00 PM", "Trigger Installed", 5</t>
  </si>
  <si>
    <t xml:space="preserve">  Logger.log("Weekly Friday 14:00 trigger installed.");</t>
  </si>
  <si>
    <t xml:space="preserve"> * Removes all project triggers for sendWeeklyReport.</t>
  </si>
  <si>
    <t>function removeTriggers() {</t>
  </si>
  <si>
    <t xml:space="preserve">  ScriptApp.getProjectTriggers()</t>
  </si>
  <si>
    <t xml:space="preserve">    .filter(t =&gt; t.getHandlerFunction() === "sendWeeklyReport")</t>
  </si>
  <si>
    <t xml:space="preserve">    .forEach(t =&gt; ScriptApp.deleteTrigger(t));</t>
  </si>
  <si>
    <t>// ── DASHBOARD FILTER (QUERY ALTERNATIVE) ─────────────────</t>
  </si>
  <si>
    <t xml:space="preserve"> * Refreshes the At-Risk deals table on the Dashboard.</t>
  </si>
  <si>
    <t xml:space="preserve"> * Called manually or from onOpen if desired.</t>
  </si>
  <si>
    <t xml:space="preserve"> * Uses JavaScript to build the data array, then writes it.</t>
  </si>
  <si>
    <t>function refreshAtRiskTable() {</t>
  </si>
  <si>
    <t xml:space="preserve">  const ss        = SpreadsheetApp.getActiveSpreadsheet();</t>
  </si>
  <si>
    <t xml:space="preserve">  const dashboard = ss.getSheetByName(DASHBOARD_SHEET);</t>
  </si>
  <si>
    <t xml:space="preserve">  const repNames  = ["Rep_1", "Rep_2", "Rep_3"];</t>
  </si>
  <si>
    <t xml:space="preserve">  const today     = new Date();</t>
  </si>
  <si>
    <t xml:space="preserve">  today.setHours(0, 0, 0, 0);</t>
  </si>
  <si>
    <t xml:space="preserve">  const atRisk = [];</t>
  </si>
  <si>
    <t xml:space="preserve">  repNames.forEach(repName =&gt; {</t>
  </si>
  <si>
    <t xml:space="preserve">    const sheet = ss.getSheetByName(repName);</t>
  </si>
  <si>
    <t xml:space="preserve">    if (!sheet) return;</t>
  </si>
  <si>
    <t xml:space="preserve">    const data = sheet.getRange("A3:G200").getValues();</t>
  </si>
  <si>
    <t xml:space="preserve">    data.forEach(row =&gt; {</t>
  </si>
  <si>
    <t xml:space="preserve">      const [deal, client, closeDate, value, stage, , weightedForecast] = row;</t>
  </si>
  <si>
    <t xml:space="preserve">      if (!deal) return;                                   // skip empty rows</t>
  </si>
  <si>
    <t xml:space="preserve">      if (stage === "Closed-Won (100%)" || stage === "Closed-Lost (0%)") return;</t>
  </si>
  <si>
    <t xml:space="preserve">      const close = new Date(closeDate);</t>
  </si>
  <si>
    <t xml:space="preserve">      if (close &lt; today) {</t>
  </si>
  <si>
    <t xml:space="preserve">        atRisk.push([repName, deal, client, closeDate, value, stage, weightedForecast]);</t>
  </si>
  <si>
    <t xml:space="preserve">      }</t>
  </si>
  <si>
    <t xml:space="preserve">    });</t>
  </si>
  <si>
    <t xml:space="preserve">  // Write to Dashboard starting at row 20</t>
  </si>
  <si>
    <t xml:space="preserve">  const startRow = 20;</t>
  </si>
  <si>
    <t xml:space="preserve">  const clearRange = dashboard.getRange(startRow, 2, 30, 7);</t>
  </si>
  <si>
    <t xml:space="preserve">  clearRange.clearContent().clearFormat();</t>
  </si>
  <si>
    <t xml:space="preserve">  if (atRisk.length === 0) {</t>
  </si>
  <si>
    <t xml:space="preserve">    const noRisk = dashboard.getRange(startRow, 2, 1, 7);</t>
  </si>
  <si>
    <t xml:space="preserve">    noRisk.merge();</t>
  </si>
  <si>
    <t xml:space="preserve">    noRisk.setValue("✅ No at-risk deals at this time.");</t>
  </si>
  <si>
    <t xml:space="preserve">    noRisk.setFontStyle("italic").setFontColor("#16A34A");</t>
  </si>
  <si>
    <t xml:space="preserve">  const outputRange = dashboard.getRange(startRow, 2, atRisk.length, 7);</t>
  </si>
  <si>
    <t xml:space="preserve">  outputRange.setValues(atRisk);</t>
  </si>
  <si>
    <t xml:space="preserve">  // Highlight in light red</t>
  </si>
  <si>
    <t xml:space="preserve">  outputRange.setBackground("#FEE2E2");</t>
  </si>
  <si>
    <t xml:space="preserve">  outputRange.setFontColor("#991B1B");</t>
  </si>
  <si>
    <t xml:space="preserve">  outputRange.setBorder(true, true, true, true, true, true, "#DC2626",</t>
  </si>
  <si>
    <t xml:space="preserve">                        SpreadsheetApp.BorderStyle.SOLID);</t>
  </si>
  <si>
    <t xml:space="preserve">  // Format date &amp; currency columns</t>
  </si>
  <si>
    <t xml:space="preserve">  dashboard.getRange(startRow, 5, atRisk.length, 1).setNumberFormat("YYYY-MM-DD");</t>
  </si>
  <si>
    <t xml:space="preserve">  dashboard.getRange(startRow, 6, atRisk.length, 1).setNumberFormat("$#,##0");</t>
  </si>
  <si>
    <t xml:space="preserve">  dashboard.getRange(startRow, 8, atRisk.length, 1).setNumberFormat("$#,##0");</t>
  </si>
  <si>
    <t xml:space="preserve"> *  Author:   [Suhaj Ahmad]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</si>
</sst>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&quot; deals&quot;"/>
  </numFmts>
  <fonts count="24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93C5FD"/>
      <name val="Arial"/>
      <charset val="1"/>
    </font>
    <font>
      <sz val="9"/>
      <color rgb="FF93C5FD"/>
      <name val="Arial"/>
      <charset val="1"/>
    </font>
    <font>
      <sz val="20"/>
      <name val="Cambria"/>
      <charset val="1"/>
    </font>
    <font>
      <b/>
      <sz val="24"/>
      <color rgb="FF2563EB"/>
      <name val="Arial"/>
      <charset val="1"/>
    </font>
    <font>
      <b/>
      <sz val="24"/>
      <color rgb="FF0EA5E9"/>
      <name val="Arial"/>
      <charset val="1"/>
    </font>
    <font>
      <b/>
      <sz val="24"/>
      <color rgb="FF10B981"/>
      <name val="Arial"/>
      <charset val="1"/>
    </font>
    <font>
      <b/>
      <sz val="24"/>
      <color rgb="FFF59E0B"/>
      <name val="Arial"/>
      <charset val="1"/>
    </font>
    <font>
      <b/>
      <sz val="8"/>
      <color rgb="FF64748B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E293B"/>
      <name val="Arial"/>
      <charset val="1"/>
    </font>
    <font>
      <sz val="10"/>
      <color rgb="FF1E293B"/>
      <name val="Arial"/>
      <charset val="1"/>
    </font>
    <font>
      <b/>
      <sz val="10"/>
      <color rgb="FF2563EB"/>
      <name val="Arial"/>
      <charset val="1"/>
    </font>
    <font>
      <sz val="10"/>
      <color rgb="FF10B981"/>
      <name val="Arial"/>
      <charset val="1"/>
    </font>
    <font>
      <sz val="10"/>
      <color rgb="FF0EA5E9"/>
      <name val="Arial"/>
      <charset val="1"/>
    </font>
    <font>
      <b/>
      <sz val="10"/>
      <color rgb="FF10B981"/>
      <name val="Arial"/>
      <charset val="1"/>
    </font>
    <font>
      <b/>
      <sz val="10"/>
      <color rgb="FFF59E0B"/>
      <name val="Arial"/>
      <charset val="1"/>
    </font>
    <font>
      <b/>
      <sz val="10"/>
      <color rgb="FFFFFFFF"/>
      <name val="Arial"/>
      <charset val="1"/>
    </font>
    <font>
      <i/>
      <sz val="8"/>
      <color rgb="FF64748B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family val="2"/>
      <charset val="1"/>
    </font>
    <font>
      <sz val="9"/>
      <color rgb="FF1E293B"/>
      <name val="Courier New"/>
      <family val="3"/>
      <charset val="1"/>
    </font>
  </fonts>
  <fills count="17">
    <fill>
      <patternFill patternType="none"/>
    </fill>
    <fill>
      <patternFill patternType="gray125"/>
    </fill>
    <fill>
      <patternFill patternType="solid">
        <fgColor rgb="FF1A2744"/>
        <bgColor rgb="FF1E293B"/>
      </patternFill>
    </fill>
    <fill>
      <patternFill patternType="solid">
        <fgColor rgb="FFF0F4FF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0EA5E9"/>
        <bgColor rgb="FF10B981"/>
      </patternFill>
    </fill>
    <fill>
      <patternFill patternType="solid">
        <fgColor rgb="FF10B981"/>
        <bgColor rgb="FF16A34A"/>
      </patternFill>
    </fill>
    <fill>
      <patternFill patternType="solid">
        <fgColor rgb="FFF59E0B"/>
        <bgColor rgb="FFFFCC00"/>
      </patternFill>
    </fill>
    <fill>
      <patternFill patternType="solid">
        <fgColor rgb="FFFFFFFF"/>
        <bgColor rgb="FFF8FAFC"/>
      </patternFill>
    </fill>
    <fill>
      <patternFill patternType="solid">
        <fgColor rgb="FF1E3A5F"/>
        <bgColor rgb="FF1A2744"/>
      </patternFill>
    </fill>
    <fill>
      <patternFill patternType="solid">
        <fgColor rgb="FFEFF6FF"/>
        <bgColor rgb="FFF0F4FF"/>
      </patternFill>
    </fill>
    <fill>
      <patternFill patternType="solid">
        <fgColor rgb="FFE0F2FE"/>
        <bgColor rgb="FFDBEAFE"/>
      </patternFill>
    </fill>
    <fill>
      <patternFill patternType="solid">
        <fgColor rgb="FFDBEAFE"/>
        <bgColor rgb="FFE0F2FE"/>
      </patternFill>
    </fill>
    <fill>
      <patternFill patternType="solid">
        <fgColor rgb="FFBFDBFE"/>
        <bgColor rgb="FFCBD5E1"/>
      </patternFill>
    </fill>
    <fill>
      <patternFill patternType="solid">
        <fgColor rgb="FFD1FAE5"/>
        <bgColor rgb="FFE0F2FE"/>
      </patternFill>
    </fill>
    <fill>
      <patternFill patternType="solid">
        <fgColor rgb="FFFEE2E2"/>
        <bgColor rgb="FFF0F4FF"/>
      </patternFill>
    </fill>
    <fill>
      <patternFill patternType="solid">
        <fgColor rgb="FFF8FAFC"/>
        <bgColor rgb="FFFFFFFF"/>
      </patternFill>
    </fill>
  </fills>
  <borders count="26">
    <border>
      <left/>
      <right/>
      <top/>
      <bottom/>
      <diagonal/>
    </border>
    <border>
      <left style="thin">
        <color rgb="FF2563EB"/>
      </left>
      <right/>
      <top/>
      <bottom/>
      <diagonal/>
    </border>
    <border>
      <left/>
      <right style="thin">
        <color rgb="FF2563EB"/>
      </right>
      <top/>
      <bottom/>
      <diagonal/>
    </border>
    <border>
      <left style="thin">
        <color rgb="FF0EA5E9"/>
      </left>
      <right/>
      <top/>
      <bottom/>
      <diagonal/>
    </border>
    <border>
      <left/>
      <right style="thin">
        <color rgb="FF0EA5E9"/>
      </right>
      <top/>
      <bottom/>
      <diagonal/>
    </border>
    <border>
      <left style="thin">
        <color rgb="FF10B981"/>
      </left>
      <right/>
      <top/>
      <bottom/>
      <diagonal/>
    </border>
    <border>
      <left/>
      <right style="thin">
        <color rgb="FF10B981"/>
      </right>
      <top/>
      <bottom/>
      <diagonal/>
    </border>
    <border>
      <left style="thin">
        <color rgb="FFF59E0B"/>
      </left>
      <right/>
      <top/>
      <bottom/>
      <diagonal/>
    </border>
    <border>
      <left/>
      <right style="thin">
        <color rgb="FFF59E0B"/>
      </right>
      <top/>
      <bottom/>
      <diagonal/>
    </border>
    <border>
      <left style="thin">
        <color rgb="FF2563EB"/>
      </left>
      <right style="thin">
        <color rgb="FF2563EB"/>
      </right>
      <top/>
      <bottom/>
      <diagonal/>
    </border>
    <border>
      <left style="thin">
        <color rgb="FF0EA5E9"/>
      </left>
      <right style="thin">
        <color rgb="FF0EA5E9"/>
      </right>
      <top/>
      <bottom/>
      <diagonal/>
    </border>
    <border>
      <left style="thin">
        <color rgb="FF10B981"/>
      </left>
      <right style="thin">
        <color rgb="FF10B981"/>
      </right>
      <top/>
      <bottom/>
      <diagonal/>
    </border>
    <border>
      <left style="thin">
        <color rgb="FFF59E0B"/>
      </left>
      <right style="thin">
        <color rgb="FFF59E0B"/>
      </right>
      <top/>
      <bottom/>
      <diagonal/>
    </border>
    <border>
      <left style="thin">
        <color rgb="FF2563EB"/>
      </left>
      <right/>
      <top/>
      <bottom style="medium">
        <color rgb="FF2563EB"/>
      </bottom>
      <diagonal/>
    </border>
    <border>
      <left/>
      <right/>
      <top/>
      <bottom style="medium">
        <color rgb="FF2563EB"/>
      </bottom>
      <diagonal/>
    </border>
    <border>
      <left/>
      <right style="thin">
        <color rgb="FF2563EB"/>
      </right>
      <top/>
      <bottom style="medium">
        <color rgb="FF2563EB"/>
      </bottom>
      <diagonal/>
    </border>
    <border>
      <left style="thin">
        <color rgb="FF0EA5E9"/>
      </left>
      <right/>
      <top/>
      <bottom style="medium">
        <color rgb="FF0EA5E9"/>
      </bottom>
      <diagonal/>
    </border>
    <border>
      <left/>
      <right/>
      <top/>
      <bottom style="medium">
        <color rgb="FF0EA5E9"/>
      </bottom>
      <diagonal/>
    </border>
    <border>
      <left/>
      <right style="thin">
        <color rgb="FF0EA5E9"/>
      </right>
      <top/>
      <bottom style="medium">
        <color rgb="FF0EA5E9"/>
      </bottom>
      <diagonal/>
    </border>
    <border>
      <left style="thin">
        <color rgb="FF10B981"/>
      </left>
      <right/>
      <top/>
      <bottom style="medium">
        <color rgb="FF10B981"/>
      </bottom>
      <diagonal/>
    </border>
    <border>
      <left/>
      <right/>
      <top/>
      <bottom style="medium">
        <color rgb="FF10B981"/>
      </bottom>
      <diagonal/>
    </border>
    <border>
      <left/>
      <right style="thin">
        <color rgb="FF10B981"/>
      </right>
      <top/>
      <bottom style="medium">
        <color rgb="FF10B981"/>
      </bottom>
      <diagonal/>
    </border>
    <border>
      <left style="thin">
        <color rgb="FFF59E0B"/>
      </left>
      <right/>
      <top/>
      <bottom style="medium">
        <color rgb="FFF59E0B"/>
      </bottom>
      <diagonal/>
    </border>
    <border>
      <left/>
      <right/>
      <top/>
      <bottom style="medium">
        <color rgb="FFF59E0B"/>
      </bottom>
      <diagonal/>
    </border>
    <border>
      <left/>
      <right style="thin">
        <color rgb="FFF59E0B"/>
      </right>
      <top/>
      <bottom style="medium">
        <color rgb="FFF59E0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0" fillId="5" borderId="3" xfId="0" applyFill="1" applyBorder="1"/>
    <xf numFmtId="0" fontId="0" fillId="5" borderId="0" xfId="0" applyFill="1"/>
    <xf numFmtId="0" fontId="0" fillId="5" borderId="4" xfId="0" applyFill="1" applyBorder="1"/>
    <xf numFmtId="0" fontId="0" fillId="6" borderId="5" xfId="0" applyFill="1" applyBorder="1"/>
    <xf numFmtId="0" fontId="0" fillId="6" borderId="0" xfId="0" applyFill="1"/>
    <xf numFmtId="0" fontId="0" fillId="6" borderId="6" xfId="0" applyFill="1" applyBorder="1"/>
    <xf numFmtId="0" fontId="0" fillId="7" borderId="7" xfId="0" applyFill="1" applyBorder="1"/>
    <xf numFmtId="0" fontId="0" fillId="7" borderId="0" xfId="0" applyFill="1"/>
    <xf numFmtId="0" fontId="0" fillId="7" borderId="8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0" fillId="8" borderId="18" xfId="0" applyFill="1" applyBorder="1"/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24" xfId="0" applyFill="1" applyBorder="1"/>
    <xf numFmtId="0" fontId="11" fillId="9" borderId="25" xfId="0" applyFont="1" applyFill="1" applyBorder="1" applyAlignment="1">
      <alignment horizontal="center" vertical="center"/>
    </xf>
    <xf numFmtId="0" fontId="0" fillId="9" borderId="25" xfId="0" applyFill="1" applyBorder="1"/>
    <xf numFmtId="0" fontId="12" fillId="10" borderId="25" xfId="0" applyFont="1" applyFill="1" applyBorder="1" applyAlignment="1">
      <alignment horizontal="left" vertical="center"/>
    </xf>
    <xf numFmtId="0" fontId="0" fillId="10" borderId="25" xfId="0" applyFill="1" applyBorder="1"/>
    <xf numFmtId="0" fontId="13" fillId="10" borderId="25" xfId="0" applyFont="1" applyFill="1" applyBorder="1" applyAlignment="1">
      <alignment horizontal="center" vertical="center"/>
    </xf>
    <xf numFmtId="164" fontId="14" fillId="10" borderId="25" xfId="0" applyNumberFormat="1" applyFont="1" applyFill="1" applyBorder="1" applyAlignment="1">
      <alignment horizontal="center" vertical="center"/>
    </xf>
    <xf numFmtId="164" fontId="15" fillId="10" borderId="25" xfId="0" applyNumberFormat="1" applyFont="1" applyFill="1" applyBorder="1" applyAlignment="1">
      <alignment horizontal="center" vertical="center"/>
    </xf>
    <xf numFmtId="0" fontId="12" fillId="11" borderId="25" xfId="0" applyFont="1" applyFill="1" applyBorder="1" applyAlignment="1">
      <alignment horizontal="left" vertical="center"/>
    </xf>
    <xf numFmtId="164" fontId="14" fillId="11" borderId="25" xfId="0" applyNumberFormat="1" applyFont="1" applyFill="1" applyBorder="1" applyAlignment="1">
      <alignment horizontal="center" vertical="center"/>
    </xf>
    <xf numFmtId="164" fontId="16" fillId="11" borderId="25" xfId="0" applyNumberFormat="1" applyFont="1" applyFill="1" applyBorder="1" applyAlignment="1">
      <alignment horizontal="center" vertical="center"/>
    </xf>
    <xf numFmtId="0" fontId="0" fillId="11" borderId="25" xfId="0" applyFill="1" applyBorder="1"/>
    <xf numFmtId="164" fontId="17" fillId="11" borderId="25" xfId="0" applyNumberFormat="1" applyFont="1" applyFill="1" applyBorder="1" applyAlignment="1">
      <alignment horizontal="center" vertical="center"/>
    </xf>
    <xf numFmtId="9" fontId="18" fillId="11" borderId="25" xfId="0" applyNumberFormat="1" applyFont="1" applyFill="1" applyBorder="1" applyAlignment="1">
      <alignment horizontal="center" vertical="center"/>
    </xf>
    <xf numFmtId="0" fontId="12" fillId="12" borderId="25" xfId="0" applyFont="1" applyFill="1" applyBorder="1" applyAlignment="1">
      <alignment horizontal="left" vertical="center"/>
    </xf>
    <xf numFmtId="0" fontId="0" fillId="12" borderId="25" xfId="0" applyFill="1" applyBorder="1"/>
    <xf numFmtId="0" fontId="13" fillId="12" borderId="25" xfId="0" applyFont="1" applyFill="1" applyBorder="1" applyAlignment="1">
      <alignment horizontal="center" vertical="center"/>
    </xf>
    <xf numFmtId="164" fontId="14" fillId="12" borderId="25" xfId="0" applyNumberFormat="1" applyFont="1" applyFill="1" applyBorder="1" applyAlignment="1">
      <alignment horizontal="center" vertical="center"/>
    </xf>
    <xf numFmtId="164" fontId="15" fillId="12" borderId="25" xfId="0" applyNumberFormat="1" applyFont="1" applyFill="1" applyBorder="1" applyAlignment="1">
      <alignment horizontal="center" vertical="center"/>
    </xf>
    <xf numFmtId="164" fontId="16" fillId="12" borderId="25" xfId="0" applyNumberFormat="1" applyFont="1" applyFill="1" applyBorder="1" applyAlignment="1">
      <alignment horizontal="center" vertical="center"/>
    </xf>
    <xf numFmtId="164" fontId="17" fillId="12" borderId="25" xfId="0" applyNumberFormat="1" applyFont="1" applyFill="1" applyBorder="1" applyAlignment="1">
      <alignment horizontal="center" vertical="center"/>
    </xf>
    <xf numFmtId="9" fontId="18" fillId="12" borderId="25" xfId="0" applyNumberFormat="1" applyFont="1" applyFill="1" applyBorder="1" applyAlignment="1">
      <alignment horizontal="center" vertical="center"/>
    </xf>
    <xf numFmtId="0" fontId="12" fillId="13" borderId="25" xfId="0" applyFont="1" applyFill="1" applyBorder="1" applyAlignment="1">
      <alignment horizontal="left" vertical="center"/>
    </xf>
    <xf numFmtId="0" fontId="0" fillId="13" borderId="25" xfId="0" applyFill="1" applyBorder="1"/>
    <xf numFmtId="0" fontId="13" fillId="13" borderId="25" xfId="0" applyFont="1" applyFill="1" applyBorder="1" applyAlignment="1">
      <alignment horizontal="center" vertical="center"/>
    </xf>
    <xf numFmtId="164" fontId="14" fillId="13" borderId="25" xfId="0" applyNumberFormat="1" applyFont="1" applyFill="1" applyBorder="1" applyAlignment="1">
      <alignment horizontal="center" vertical="center"/>
    </xf>
    <xf numFmtId="164" fontId="15" fillId="13" borderId="25" xfId="0" applyNumberFormat="1" applyFont="1" applyFill="1" applyBorder="1" applyAlignment="1">
      <alignment horizontal="center" vertical="center"/>
    </xf>
    <xf numFmtId="0" fontId="12" fillId="14" borderId="25" xfId="0" applyFont="1" applyFill="1" applyBorder="1" applyAlignment="1">
      <alignment horizontal="left" vertical="center"/>
    </xf>
    <xf numFmtId="164" fontId="14" fillId="14" borderId="25" xfId="0" applyNumberFormat="1" applyFont="1" applyFill="1" applyBorder="1" applyAlignment="1">
      <alignment horizontal="center" vertical="center"/>
    </xf>
    <xf numFmtId="164" fontId="16" fillId="14" borderId="25" xfId="0" applyNumberFormat="1" applyFont="1" applyFill="1" applyBorder="1" applyAlignment="1">
      <alignment horizontal="center" vertical="center"/>
    </xf>
    <xf numFmtId="0" fontId="0" fillId="14" borderId="25" xfId="0" applyFill="1" applyBorder="1"/>
    <xf numFmtId="164" fontId="17" fillId="14" borderId="25" xfId="0" applyNumberFormat="1" applyFont="1" applyFill="1" applyBorder="1" applyAlignment="1">
      <alignment horizontal="center" vertical="center"/>
    </xf>
    <xf numFmtId="9" fontId="18" fillId="14" borderId="25" xfId="0" applyNumberFormat="1" applyFont="1" applyFill="1" applyBorder="1" applyAlignment="1">
      <alignment horizontal="center" vertical="center"/>
    </xf>
    <xf numFmtId="0" fontId="13" fillId="14" borderId="25" xfId="0" applyFont="1" applyFill="1" applyBorder="1" applyAlignment="1">
      <alignment horizontal="center" vertical="center"/>
    </xf>
    <xf numFmtId="164" fontId="15" fillId="14" borderId="25" xfId="0" applyNumberFormat="1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left" vertical="center"/>
    </xf>
    <xf numFmtId="164" fontId="19" fillId="2" borderId="25" xfId="0" applyNumberFormat="1" applyFont="1" applyFill="1" applyBorder="1" applyAlignment="1">
      <alignment horizontal="center" vertical="center"/>
    </xf>
    <xf numFmtId="0" fontId="0" fillId="2" borderId="25" xfId="0" applyFill="1" applyBorder="1"/>
    <xf numFmtId="0" fontId="12" fillId="15" borderId="25" xfId="0" applyFont="1" applyFill="1" applyBorder="1" applyAlignment="1">
      <alignment horizontal="left" vertical="center"/>
    </xf>
    <xf numFmtId="0" fontId="0" fillId="15" borderId="25" xfId="0" applyFill="1" applyBorder="1"/>
    <xf numFmtId="0" fontId="13" fillId="15" borderId="25" xfId="0" applyFont="1" applyFill="1" applyBorder="1" applyAlignment="1">
      <alignment horizontal="center" vertical="center"/>
    </xf>
    <xf numFmtId="164" fontId="14" fillId="15" borderId="25" xfId="0" applyNumberFormat="1" applyFont="1" applyFill="1" applyBorder="1" applyAlignment="1">
      <alignment horizontal="center" vertical="center"/>
    </xf>
    <xf numFmtId="164" fontId="15" fillId="15" borderId="25" xfId="0" applyNumberFormat="1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164" fontId="0" fillId="3" borderId="0" xfId="0" applyNumberFormat="1" applyFill="1"/>
    <xf numFmtId="0" fontId="19" fillId="9" borderId="25" xfId="0" applyFont="1" applyFill="1" applyBorder="1" applyAlignment="1">
      <alignment horizontal="center" vertical="center"/>
    </xf>
    <xf numFmtId="0" fontId="13" fillId="10" borderId="25" xfId="0" applyFont="1" applyFill="1" applyBorder="1" applyAlignment="1">
      <alignment horizontal="left" vertical="center"/>
    </xf>
    <xf numFmtId="164" fontId="13" fillId="10" borderId="25" xfId="0" applyNumberFormat="1" applyFont="1" applyFill="1" applyBorder="1" applyAlignment="1">
      <alignment horizontal="center" vertical="center"/>
    </xf>
    <xf numFmtId="9" fontId="13" fillId="10" borderId="25" xfId="0" applyNumberFormat="1" applyFont="1" applyFill="1" applyBorder="1" applyAlignment="1">
      <alignment horizontal="center" vertical="center"/>
    </xf>
    <xf numFmtId="0" fontId="13" fillId="8" borderId="25" xfId="0" applyFont="1" applyFill="1" applyBorder="1" applyAlignment="1">
      <alignment horizontal="left" vertical="center"/>
    </xf>
    <xf numFmtId="0" fontId="13" fillId="8" borderId="25" xfId="0" applyFont="1" applyFill="1" applyBorder="1" applyAlignment="1">
      <alignment horizontal="center" vertical="center"/>
    </xf>
    <xf numFmtId="164" fontId="13" fillId="8" borderId="25" xfId="0" applyNumberFormat="1" applyFont="1" applyFill="1" applyBorder="1" applyAlignment="1">
      <alignment horizontal="center" vertical="center"/>
    </xf>
    <xf numFmtId="9" fontId="13" fillId="8" borderId="25" xfId="0" applyNumberFormat="1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 wrapText="1"/>
    </xf>
    <xf numFmtId="0" fontId="23" fillId="8" borderId="0" xfId="0" applyFont="1" applyFill="1"/>
    <xf numFmtId="0" fontId="23" fillId="16" borderId="0" xfId="0" applyFont="1" applyFill="1"/>
    <xf numFmtId="0" fontId="10" fillId="4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164" fontId="5" fillId="8" borderId="9" xfId="0" applyNumberFormat="1" applyFont="1" applyFill="1" applyBorder="1" applyAlignment="1">
      <alignment horizontal="center" vertical="center"/>
    </xf>
    <xf numFmtId="164" fontId="6" fillId="8" borderId="10" xfId="0" applyNumberFormat="1" applyFont="1" applyFill="1" applyBorder="1" applyAlignment="1">
      <alignment horizontal="center" vertical="center"/>
    </xf>
    <xf numFmtId="164" fontId="7" fillId="8" borderId="11" xfId="0" applyNumberFormat="1" applyFont="1" applyFill="1" applyBorder="1" applyAlignment="1">
      <alignment horizontal="center" vertical="center"/>
    </xf>
    <xf numFmtId="165" fontId="8" fillId="8" borderId="12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3" fillId="10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F0F4FF"/>
      <rgbColor rgb="FF993366"/>
      <rgbColor rgb="FFF8FAFC"/>
      <rgbColor rgb="FFE0F2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DBEAFE"/>
      <rgbColor rgb="FFD1FAE5"/>
      <rgbColor rgb="FFEFF6FF"/>
      <rgbColor rgb="FF93C5FD"/>
      <rgbColor rgb="FFD9D9D9"/>
      <rgbColor rgb="FFBFDBFE"/>
      <rgbColor rgb="FFFEE2E2"/>
      <rgbColor rgb="FF2563EB"/>
      <rgbColor rgb="FF10B981"/>
      <rgbColor rgb="FF99CC00"/>
      <rgbColor rgb="FFFFCC00"/>
      <rgbColor rgb="FFF59E0B"/>
      <rgbColor rgb="FFFF6600"/>
      <rgbColor rgb="FF64748B"/>
      <rgbColor rgb="FF969696"/>
      <rgbColor rgb="FF1E3A5F"/>
      <rgbColor rgb="FF16A34A"/>
      <rgbColor rgb="FF003300"/>
      <rgbColor rgb="FF1A2744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563EB"/>
            </a:solidFill>
            <a:ln w="9360">
              <a:solidFill>
                <a:srgbClr val="1E3A5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Dashboard!$A$56:$A$60</c:f>
              <c:strCache>
                <c:ptCount val="5"/>
                <c:pt idx="0">
                  <c:v>Lead</c:v>
                </c:pt>
                <c:pt idx="1">
                  <c:v>Proposal</c:v>
                </c:pt>
                <c:pt idx="2">
                  <c:v>Negotiation</c:v>
                </c:pt>
                <c:pt idx="3">
                  <c:v>Closed-Won</c:v>
                </c:pt>
                <c:pt idx="4">
                  <c:v>Closed-Lost</c:v>
                </c:pt>
              </c:strCache>
            </c:strRef>
          </c:cat>
          <c:val>
            <c:numRef>
              <c:f>Dashboard!$B$56:$B$60</c:f>
              <c:numCache>
                <c:formatCode>\$#,##0</c:formatCode>
                <c:ptCount val="5"/>
                <c:pt idx="0">
                  <c:v>0</c:v>
                </c:pt>
                <c:pt idx="1">
                  <c:v>115000</c:v>
                </c:pt>
                <c:pt idx="2">
                  <c:v>177000</c:v>
                </c:pt>
                <c:pt idx="3">
                  <c:v>320000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B-40D1-9DC0-38A29409E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5658"/>
        <c:axId val="24249449"/>
      </c:barChart>
      <c:catAx>
        <c:axId val="98565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49449"/>
        <c:crosses val="autoZero"/>
        <c:auto val="1"/>
        <c:lblAlgn val="ctr"/>
        <c:lblOffset val="100"/>
        <c:noMultiLvlLbl val="0"/>
      </c:catAx>
      <c:valAx>
        <c:axId val="2424944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6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Dashboard!$E$55</c:f>
              <c:strCache>
                <c:ptCount val="1"/>
                <c:pt idx="0">
                  <c:v>Pipeline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2563E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Dashboard!$D$56:$D$58</c:f>
              <c:strCache>
                <c:ptCount val="3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</c:strCache>
            </c:strRef>
          </c:cat>
          <c:val>
            <c:numRef>
              <c:f>Dashboard!$E$56:$E$58</c:f>
              <c:numCache>
                <c:formatCode>\$#,##0</c:formatCode>
                <c:ptCount val="3"/>
                <c:pt idx="0">
                  <c:v>200000</c:v>
                </c:pt>
                <c:pt idx="1">
                  <c:v>188000</c:v>
                </c:pt>
                <c:pt idx="2">
                  <c:v>224000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1-469A-8C3D-8FC788E5B5BF}"/>
            </c:ext>
          </c:extLst>
        </c:ser>
        <c:ser>
          <c:idx val="1"/>
          <c:order val="1"/>
          <c:tx>
            <c:strRef>
              <c:f>Dashboard!$F$55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0EA5E9"/>
            </a:solidFill>
            <a:ln w="9360">
              <a:solidFill>
                <a:srgbClr val="0EA5E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Dashboard!$D$56:$D$58</c:f>
              <c:strCache>
                <c:ptCount val="3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</c:strCache>
            </c:strRef>
          </c:cat>
          <c:val>
            <c:numRef>
              <c:f>Dashboard!$F$56:$F$58</c:f>
              <c:numCache>
                <c:formatCode>\$#,##0</c:formatCode>
                <c:ptCount val="3"/>
                <c:pt idx="0">
                  <c:v>162500</c:v>
                </c:pt>
                <c:pt idx="1">
                  <c:v>145100</c:v>
                </c:pt>
                <c:pt idx="2">
                  <c:v>182300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1-469A-8C3D-8FC788E5B5BF}"/>
            </c:ext>
          </c:extLst>
        </c:ser>
        <c:ser>
          <c:idx val="2"/>
          <c:order val="2"/>
          <c:tx>
            <c:strRef>
              <c:f>Dashboard!$G$55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rgbClr val="10B981"/>
            </a:solidFill>
            <a:ln w="9360">
              <a:solidFill>
                <a:srgbClr val="10B98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Dashboard!$D$56:$D$58</c:f>
              <c:strCache>
                <c:ptCount val="3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</c:strCache>
            </c:strRef>
          </c:cat>
          <c:val>
            <c:numRef>
              <c:f>Dashboard!$G$56:$G$58</c:f>
              <c:numCache>
                <c:formatCode>\$#,##0</c:formatCode>
                <c:ptCount val="3"/>
                <c:pt idx="0">
                  <c:v>110000</c:v>
                </c:pt>
                <c:pt idx="1">
                  <c:v>85000</c:v>
                </c:pt>
                <c:pt idx="2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1-469A-8C3D-8FC788E5B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507894"/>
        <c:axId val="25548585"/>
      </c:barChart>
      <c:catAx>
        <c:axId val="895078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48585"/>
        <c:crosses val="autoZero"/>
        <c:auto val="1"/>
        <c:lblAlgn val="ctr"/>
        <c:lblOffset val="100"/>
        <c:noMultiLvlLbl val="0"/>
      </c:catAx>
      <c:valAx>
        <c:axId val="255485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07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9</xdr:col>
      <xdr:colOff>156630</xdr:colOff>
      <xdr:row>39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17</xdr:col>
      <xdr:colOff>175680</xdr:colOff>
      <xdr:row>39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showGridLines="0" topLeftCell="A31" zoomScaleNormal="100" workbookViewId="0">
      <selection activeCell="F44" sqref="F44"/>
    </sheetView>
  </sheetViews>
  <sheetFormatPr defaultColWidth="8.6328125" defaultRowHeight="14.5" x14ac:dyDescent="0.35"/>
  <cols>
    <col min="1" max="1" width="11" bestFit="1" customWidth="1"/>
    <col min="2" max="2" width="11.26953125" bestFit="1" customWidth="1"/>
    <col min="3" max="4" width="11" customWidth="1"/>
    <col min="5" max="5" width="1.54296875" customWidth="1"/>
    <col min="6" max="8" width="11" customWidth="1"/>
    <col min="9" max="9" width="1.54296875" customWidth="1"/>
    <col min="10" max="12" width="11" customWidth="1"/>
    <col min="13" max="13" width="1.54296875" customWidth="1"/>
    <col min="14" max="16" width="11" customWidth="1"/>
    <col min="17" max="17" width="1.54296875" customWidth="1"/>
  </cols>
  <sheetData>
    <row r="1" spans="1:17" ht="9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7.75" customHeight="1" x14ac:dyDescent="0.35">
      <c r="A2" s="1"/>
      <c r="B2" s="97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 t="s">
        <v>1</v>
      </c>
      <c r="N2" s="98"/>
      <c r="O2" s="98"/>
      <c r="P2" s="98"/>
      <c r="Q2" s="1"/>
    </row>
    <row r="3" spans="1:17" ht="15.75" customHeight="1" x14ac:dyDescent="0.35">
      <c r="A3" s="1"/>
      <c r="B3" s="99" t="s">
        <v>2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1"/>
    </row>
    <row r="4" spans="1:17" ht="9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9.7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7.5" customHeight="1" x14ac:dyDescent="0.35">
      <c r="A6" s="2"/>
      <c r="B6" s="3"/>
      <c r="C6" s="4"/>
      <c r="D6" s="5"/>
      <c r="E6" s="2"/>
      <c r="F6" s="6"/>
      <c r="G6" s="7"/>
      <c r="H6" s="8"/>
      <c r="I6" s="2"/>
      <c r="J6" s="9"/>
      <c r="K6" s="10"/>
      <c r="L6" s="11"/>
      <c r="M6" s="2"/>
      <c r="N6" s="12"/>
      <c r="O6" s="13"/>
      <c r="P6" s="14"/>
      <c r="Q6" s="2"/>
    </row>
    <row r="7" spans="1:17" ht="24" customHeight="1" x14ac:dyDescent="0.35">
      <c r="A7" s="2"/>
      <c r="B7" s="100" t="s">
        <v>3</v>
      </c>
      <c r="C7" s="100"/>
      <c r="D7" s="100"/>
      <c r="E7" s="2"/>
      <c r="F7" s="101" t="s">
        <v>4</v>
      </c>
      <c r="G7" s="101"/>
      <c r="H7" s="101"/>
      <c r="I7" s="2"/>
      <c r="J7" s="102" t="s">
        <v>5</v>
      </c>
      <c r="K7" s="102"/>
      <c r="L7" s="102"/>
      <c r="M7" s="2"/>
      <c r="N7" s="103" t="s">
        <v>6</v>
      </c>
      <c r="O7" s="103"/>
      <c r="P7" s="103"/>
      <c r="Q7" s="2"/>
    </row>
    <row r="8" spans="1:17" ht="36" customHeight="1" x14ac:dyDescent="0.35">
      <c r="A8" s="2"/>
      <c r="B8" s="89">
        <f>SUM(Rep_1!D3:D8,Rep_2!D3:D8,Rep_3!D3:D8)</f>
        <v>612000</v>
      </c>
      <c r="C8" s="89"/>
      <c r="D8" s="89"/>
      <c r="E8" s="2"/>
      <c r="F8" s="90">
        <f>SUM(Rep_1!G3:G8,Rep_2!G3:G8,Rep_3!G3:G8)</f>
        <v>489900</v>
      </c>
      <c r="G8" s="90"/>
      <c r="H8" s="90"/>
      <c r="I8" s="2"/>
      <c r="J8" s="91">
        <f>SUMIF(All_Deals!F3:F20,"Closed-Won",All_Deals!E3:E20)</f>
        <v>320000</v>
      </c>
      <c r="K8" s="91"/>
      <c r="L8" s="91"/>
      <c r="M8" s="2"/>
      <c r="N8" s="92">
        <f>COUNTA(All_Deals!B3:B20)</f>
        <v>18</v>
      </c>
      <c r="O8" s="92"/>
      <c r="P8" s="92"/>
      <c r="Q8" s="2"/>
    </row>
    <row r="9" spans="1:17" ht="15.75" customHeight="1" x14ac:dyDescent="0.35">
      <c r="A9" s="2"/>
      <c r="B9" s="93" t="s">
        <v>7</v>
      </c>
      <c r="C9" s="93"/>
      <c r="D9" s="93"/>
      <c r="E9" s="2"/>
      <c r="F9" s="94" t="s">
        <v>8</v>
      </c>
      <c r="G9" s="94"/>
      <c r="H9" s="94"/>
      <c r="I9" s="2"/>
      <c r="J9" s="95" t="s">
        <v>9</v>
      </c>
      <c r="K9" s="95"/>
      <c r="L9" s="95"/>
      <c r="M9" s="2"/>
      <c r="N9" s="96" t="s">
        <v>10</v>
      </c>
      <c r="O9" s="96"/>
      <c r="P9" s="96"/>
      <c r="Q9" s="2"/>
    </row>
    <row r="10" spans="1:17" ht="12" customHeight="1" x14ac:dyDescent="0.35">
      <c r="A10" s="2"/>
      <c r="B10" s="15"/>
      <c r="C10" s="16"/>
      <c r="D10" s="17"/>
      <c r="E10" s="2"/>
      <c r="F10" s="18"/>
      <c r="G10" s="19"/>
      <c r="H10" s="20"/>
      <c r="I10" s="2"/>
      <c r="J10" s="21"/>
      <c r="K10" s="22"/>
      <c r="L10" s="23"/>
      <c r="M10" s="2"/>
      <c r="N10" s="24"/>
      <c r="O10" s="25"/>
      <c r="P10" s="26"/>
      <c r="Q10" s="2"/>
    </row>
    <row r="11" spans="1:17" ht="13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21.75" customHeight="1" x14ac:dyDescent="0.35">
      <c r="A12" s="2"/>
      <c r="B12" s="86" t="s">
        <v>11</v>
      </c>
      <c r="C12" s="86"/>
      <c r="D12" s="86"/>
      <c r="E12" s="86"/>
      <c r="F12" s="86"/>
      <c r="G12" s="86"/>
      <c r="H12" s="86"/>
      <c r="I12" s="2"/>
      <c r="J12" s="87" t="s">
        <v>12</v>
      </c>
      <c r="K12" s="87"/>
      <c r="L12" s="87"/>
      <c r="M12" s="87"/>
      <c r="N12" s="87"/>
      <c r="O12" s="87"/>
      <c r="P12" s="87"/>
      <c r="Q12" s="2"/>
    </row>
    <row r="13" spans="1:17" ht="19.5" customHeight="1" x14ac:dyDescent="0.35">
      <c r="A13" s="2"/>
      <c r="B13" s="27" t="s">
        <v>13</v>
      </c>
      <c r="C13" s="28"/>
      <c r="D13" s="27" t="s">
        <v>14</v>
      </c>
      <c r="E13" s="28"/>
      <c r="F13" s="27" t="s">
        <v>15</v>
      </c>
      <c r="G13" s="28"/>
      <c r="H13" s="27" t="s">
        <v>16</v>
      </c>
      <c r="I13" s="2"/>
      <c r="J13" s="27" t="s">
        <v>17</v>
      </c>
      <c r="K13" s="27" t="s">
        <v>18</v>
      </c>
      <c r="L13" s="27" t="s">
        <v>16</v>
      </c>
      <c r="M13" s="28"/>
      <c r="N13" s="27" t="s">
        <v>19</v>
      </c>
      <c r="O13" s="28"/>
      <c r="P13" s="27" t="s">
        <v>20</v>
      </c>
      <c r="Q13" s="2"/>
    </row>
    <row r="14" spans="1:17" ht="19.5" customHeight="1" x14ac:dyDescent="0.35">
      <c r="A14" s="2"/>
      <c r="B14" s="29" t="s">
        <v>21</v>
      </c>
      <c r="C14" s="30"/>
      <c r="D14" s="31">
        <f>COUNTIF(All_Deals!F3:F20,"Lead")</f>
        <v>0</v>
      </c>
      <c r="E14" s="30"/>
      <c r="F14" s="32">
        <f>SUMIF(All_Deals!F3:F20,"Lead",All_Deals!E3:E20)</f>
        <v>0</v>
      </c>
      <c r="G14" s="30"/>
      <c r="H14" s="33">
        <f>SUMIF(All_Deals!F3:F20,"Lead",All_Deals!H3:H20)</f>
        <v>0</v>
      </c>
      <c r="I14" s="2"/>
      <c r="J14" s="34" t="s">
        <v>22</v>
      </c>
      <c r="K14" s="35">
        <f>SUM(Rep_1!D3:D8)</f>
        <v>200000</v>
      </c>
      <c r="L14" s="36">
        <f>SUM(Rep_1!G3:G8)</f>
        <v>162500</v>
      </c>
      <c r="M14" s="37"/>
      <c r="N14" s="38">
        <f>SUMIF(Rep_1!E3:E8,"Closed-Won",Rep_1!D3:D8)</f>
        <v>110000</v>
      </c>
      <c r="O14" s="37"/>
      <c r="P14" s="39">
        <f>N14/Settings!B12</f>
        <v>1.1000000000000001</v>
      </c>
      <c r="Q14" s="2"/>
    </row>
    <row r="15" spans="1:17" ht="19.5" customHeight="1" x14ac:dyDescent="0.35">
      <c r="A15" s="2"/>
      <c r="B15" s="40" t="s">
        <v>23</v>
      </c>
      <c r="C15" s="41"/>
      <c r="D15" s="42">
        <f>COUNTIF(All_Deals!F3:F20,"Proposal")</f>
        <v>6</v>
      </c>
      <c r="E15" s="41"/>
      <c r="F15" s="43">
        <f>SUMIF(All_Deals!F3:F20,"Proposal",All_Deals!E3:E20)</f>
        <v>115000</v>
      </c>
      <c r="G15" s="41"/>
      <c r="H15" s="44">
        <f>SUMIF(All_Deals!F3:F20,"Proposal",All_Deals!H3:H20)</f>
        <v>46000</v>
      </c>
      <c r="I15" s="2"/>
      <c r="J15" s="40" t="s">
        <v>24</v>
      </c>
      <c r="K15" s="43">
        <f>SUM(Rep_2!D3:D8)</f>
        <v>188000</v>
      </c>
      <c r="L15" s="45">
        <f>SUM(Rep_2!G3:G8)</f>
        <v>145100</v>
      </c>
      <c r="M15" s="41"/>
      <c r="N15" s="46">
        <f>SUMIF(Rep_2!E3:E8,"Closed-Won",Rep_2!D3:D8)</f>
        <v>85000</v>
      </c>
      <c r="O15" s="41"/>
      <c r="P15" s="47">
        <f>N15/Settings!B13</f>
        <v>1.7</v>
      </c>
      <c r="Q15" s="2"/>
    </row>
    <row r="16" spans="1:17" ht="19.5" customHeight="1" x14ac:dyDescent="0.35">
      <c r="A16" s="2"/>
      <c r="B16" s="48" t="s">
        <v>25</v>
      </c>
      <c r="C16" s="49"/>
      <c r="D16" s="50">
        <f>COUNTIF(All_Deals!F3:F20,"Negotiation")</f>
        <v>6</v>
      </c>
      <c r="E16" s="49"/>
      <c r="F16" s="51">
        <f>SUMIF(All_Deals!F3:F20,"Negotiation",All_Deals!E3:E20)</f>
        <v>177000</v>
      </c>
      <c r="G16" s="49"/>
      <c r="H16" s="52">
        <f>SUMIF(All_Deals!F3:F20,"Negotiation",All_Deals!H3:H20)</f>
        <v>123900</v>
      </c>
      <c r="I16" s="2"/>
      <c r="J16" s="53" t="s">
        <v>26</v>
      </c>
      <c r="K16" s="54">
        <f>SUM(Rep_3!D3:D8)</f>
        <v>224000</v>
      </c>
      <c r="L16" s="55">
        <f>SUM(Rep_3!G3:G8)</f>
        <v>182300</v>
      </c>
      <c r="M16" s="56"/>
      <c r="N16" s="57">
        <f>SUMIF(Rep_3!E3:E8,"Closed-Won",Rep_3!D3:D8)</f>
        <v>125000</v>
      </c>
      <c r="O16" s="56"/>
      <c r="P16" s="58">
        <f>N16/Settings!B14</f>
        <v>2.5</v>
      </c>
      <c r="Q16" s="2"/>
    </row>
    <row r="17" spans="1:17" ht="21.75" customHeight="1" x14ac:dyDescent="0.35">
      <c r="A17" s="2"/>
      <c r="B17" s="53" t="s">
        <v>27</v>
      </c>
      <c r="C17" s="56"/>
      <c r="D17" s="59">
        <f>COUNTIF(All_Deals!F3:F20,"Closed-Won")</f>
        <v>6</v>
      </c>
      <c r="E17" s="56"/>
      <c r="F17" s="54">
        <f>SUMIF(All_Deals!F3:F20,"Closed-Won",All_Deals!E3:E20)</f>
        <v>320000</v>
      </c>
      <c r="G17" s="56"/>
      <c r="H17" s="60">
        <f>SUMIF(All_Deals!F3:F20,"Closed-Won",All_Deals!H3:H20)</f>
        <v>320000</v>
      </c>
      <c r="I17" s="2"/>
      <c r="J17" s="61" t="s">
        <v>28</v>
      </c>
      <c r="K17" s="62">
        <f>SUM(K14:K16)</f>
        <v>612000</v>
      </c>
      <c r="L17" s="62">
        <f>SUM(L14:L16)</f>
        <v>489900</v>
      </c>
      <c r="M17" s="63"/>
      <c r="N17" s="62">
        <f>SUM(N14:N16)</f>
        <v>320000</v>
      </c>
      <c r="O17" s="63"/>
      <c r="P17" s="63"/>
      <c r="Q17" s="2"/>
    </row>
    <row r="18" spans="1:17" ht="19.5" customHeight="1" x14ac:dyDescent="0.35">
      <c r="A18" s="2"/>
      <c r="B18" s="64" t="s">
        <v>29</v>
      </c>
      <c r="C18" s="65"/>
      <c r="D18" s="66">
        <f>COUNTIF(All_Deals!F3:F20,"Closed-Lost")</f>
        <v>0</v>
      </c>
      <c r="E18" s="65"/>
      <c r="F18" s="67">
        <f>SUMIF(All_Deals!F3:F20,"Closed-Lost",All_Deals!E3:E20)</f>
        <v>0</v>
      </c>
      <c r="G18" s="65"/>
      <c r="H18" s="68">
        <f>SUMIF(All_Deals!F3:F20,"Closed-Lost",All_Deals!H3:H20)</f>
        <v>0</v>
      </c>
      <c r="I18" s="2"/>
      <c r="J18" s="2"/>
      <c r="K18" s="2"/>
      <c r="L18" s="2"/>
      <c r="M18" s="2"/>
      <c r="N18" s="2"/>
      <c r="O18" s="2"/>
      <c r="P18" s="2"/>
      <c r="Q18" s="2"/>
    </row>
    <row r="19" spans="1:17" ht="19.5" customHeight="1" x14ac:dyDescent="0.35">
      <c r="A19" s="2"/>
      <c r="B19" s="61" t="s">
        <v>28</v>
      </c>
      <c r="C19" s="63"/>
      <c r="D19" s="69">
        <f>SUM(D14:D18)</f>
        <v>18</v>
      </c>
      <c r="E19" s="63"/>
      <c r="F19" s="62">
        <f>SUM(F14:F18)</f>
        <v>612000</v>
      </c>
      <c r="G19" s="63"/>
      <c r="H19" s="62">
        <f>SUM(H14:H18)</f>
        <v>489900</v>
      </c>
      <c r="I19" s="2"/>
      <c r="J19" s="2"/>
      <c r="K19" s="2"/>
      <c r="L19" s="2"/>
      <c r="M19" s="2"/>
      <c r="N19" s="2"/>
      <c r="O19" s="2"/>
      <c r="P19" s="2"/>
      <c r="Q19" s="2"/>
    </row>
    <row r="20" spans="1:17" ht="13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.75" customHeight="1" x14ac:dyDescent="0.35">
      <c r="A21" s="2"/>
      <c r="B21" s="86" t="s">
        <v>30</v>
      </c>
      <c r="C21" s="86"/>
      <c r="D21" s="86"/>
      <c r="E21" s="86"/>
      <c r="F21" s="86"/>
      <c r="G21" s="86"/>
      <c r="H21" s="86"/>
      <c r="I21" s="2"/>
      <c r="J21" s="87" t="s">
        <v>31</v>
      </c>
      <c r="K21" s="87"/>
      <c r="L21" s="87"/>
      <c r="M21" s="87"/>
      <c r="N21" s="87"/>
      <c r="O21" s="87"/>
      <c r="P21" s="87"/>
      <c r="Q21" s="2"/>
    </row>
    <row r="22" spans="1:17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9.5" customHeight="1" x14ac:dyDescent="0.35">
      <c r="A53" s="2"/>
      <c r="B53" s="88" t="s">
        <v>32</v>
      </c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2"/>
    </row>
    <row r="54" spans="1:1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35">
      <c r="A55" s="2" t="s">
        <v>13</v>
      </c>
      <c r="B55" s="2" t="s">
        <v>33</v>
      </c>
      <c r="C55" s="2"/>
      <c r="D55" s="2" t="s">
        <v>17</v>
      </c>
      <c r="E55" s="2" t="s">
        <v>34</v>
      </c>
      <c r="F55" s="2" t="s">
        <v>35</v>
      </c>
      <c r="G55" s="2" t="s">
        <v>36</v>
      </c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35">
      <c r="A56" s="2" t="s">
        <v>21</v>
      </c>
      <c r="B56" s="70">
        <f>SUMIF(All_Deals!F3:F20,"Lead",All_Deals!E3:E20)</f>
        <v>0</v>
      </c>
      <c r="C56" s="2"/>
      <c r="D56" s="2" t="s">
        <v>22</v>
      </c>
      <c r="E56" s="70">
        <f>SUM(Rep_1!D3:D8)</f>
        <v>200000</v>
      </c>
      <c r="F56" s="70">
        <f>SUM(Rep_1!G3:G8)</f>
        <v>162500</v>
      </c>
      <c r="G56" s="70">
        <f>SUMIF(Rep_1!E3:E8,"Closed-Won",Rep_1!D3:D8)</f>
        <v>110000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35">
      <c r="A57" s="2" t="s">
        <v>23</v>
      </c>
      <c r="B57" s="70">
        <f>SUMIF(All_Deals!F3:F20,"Proposal",All_Deals!E3:E20)</f>
        <v>115000</v>
      </c>
      <c r="C57" s="2"/>
      <c r="D57" s="2" t="s">
        <v>24</v>
      </c>
      <c r="E57" s="70">
        <f>SUM(Rep_2!D3:D8)</f>
        <v>188000</v>
      </c>
      <c r="F57" s="70">
        <f>SUM(Rep_2!G3:G8)</f>
        <v>145100</v>
      </c>
      <c r="G57" s="70">
        <f>SUMIF(Rep_2!E3:E8,"Closed-Won",Rep_2!D3:D8)</f>
        <v>85000</v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35">
      <c r="A58" s="2" t="s">
        <v>25</v>
      </c>
      <c r="B58" s="70">
        <f>SUMIF(All_Deals!F3:F20,"Negotiation",All_Deals!E3:E20)</f>
        <v>177000</v>
      </c>
      <c r="C58" s="2"/>
      <c r="D58" s="2" t="s">
        <v>26</v>
      </c>
      <c r="E58" s="70">
        <f>SUM(Rep_3!D3:D8)</f>
        <v>224000</v>
      </c>
      <c r="F58" s="70">
        <f>SUM(Rep_3!G3:G8)</f>
        <v>182300</v>
      </c>
      <c r="G58" s="70">
        <f>SUMIF(Rep_3!E3:E8,"Closed-Won",Rep_3!D3:D8)</f>
        <v>125000</v>
      </c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35">
      <c r="A59" s="2" t="s">
        <v>27</v>
      </c>
      <c r="B59" s="70">
        <f>SUMIF(All_Deals!F3:F20,"Closed-Won",All_Deals!E3:E20)</f>
        <v>320000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35">
      <c r="A60" s="2" t="s">
        <v>29</v>
      </c>
      <c r="B60" s="70">
        <f>SUMIF(All_Deals!F3:F20,"Closed-Lost",All_Deals!E3:E20)</f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</sheetData>
  <mergeCells count="20">
    <mergeCell ref="B2:L2"/>
    <mergeCell ref="M2:P2"/>
    <mergeCell ref="B3:P3"/>
    <mergeCell ref="B7:D7"/>
    <mergeCell ref="F7:H7"/>
    <mergeCell ref="J7:L7"/>
    <mergeCell ref="N7:P7"/>
    <mergeCell ref="B8:D8"/>
    <mergeCell ref="F8:H8"/>
    <mergeCell ref="J8:L8"/>
    <mergeCell ref="N8:P8"/>
    <mergeCell ref="B9:D9"/>
    <mergeCell ref="F9:H9"/>
    <mergeCell ref="J9:L9"/>
    <mergeCell ref="N9:P9"/>
    <mergeCell ref="B12:H12"/>
    <mergeCell ref="J12:P12"/>
    <mergeCell ref="B21:H21"/>
    <mergeCell ref="J21:P21"/>
    <mergeCell ref="B53:P5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G10"/>
  <sheetViews>
    <sheetView showGridLines="0" zoomScaleNormal="100" workbookViewId="0">
      <pane ySplit="2" topLeftCell="A3" activePane="bottomLeft" state="frozen"/>
      <selection pane="bottomLeft" sqref="A1:G1"/>
    </sheetView>
  </sheetViews>
  <sheetFormatPr defaultColWidth="8.6328125" defaultRowHeight="14.5" x14ac:dyDescent="0.35"/>
  <cols>
    <col min="1" max="1" width="22" customWidth="1"/>
    <col min="2" max="2" width="18" customWidth="1"/>
    <col min="3" max="3" width="13" customWidth="1"/>
    <col min="4" max="5" width="14" customWidth="1"/>
    <col min="6" max="6" width="13" customWidth="1"/>
    <col min="7" max="7" width="14" customWidth="1"/>
  </cols>
  <sheetData>
    <row r="1" spans="1:7" ht="30" customHeight="1" x14ac:dyDescent="0.35">
      <c r="A1" s="104" t="s">
        <v>37</v>
      </c>
      <c r="B1" s="104"/>
      <c r="C1" s="104"/>
      <c r="D1" s="104"/>
      <c r="E1" s="104"/>
      <c r="F1" s="104"/>
      <c r="G1" s="104"/>
    </row>
    <row r="2" spans="1:7" ht="21.75" customHeight="1" x14ac:dyDescent="0.35">
      <c r="A2" s="71" t="s">
        <v>38</v>
      </c>
      <c r="B2" s="71" t="s">
        <v>39</v>
      </c>
      <c r="C2" s="71" t="s">
        <v>40</v>
      </c>
      <c r="D2" s="71" t="s">
        <v>41</v>
      </c>
      <c r="E2" s="71" t="s">
        <v>13</v>
      </c>
      <c r="F2" s="71" t="s">
        <v>42</v>
      </c>
      <c r="G2" s="71" t="s">
        <v>35</v>
      </c>
    </row>
    <row r="3" spans="1:7" ht="19.5" customHeight="1" x14ac:dyDescent="0.35">
      <c r="A3" s="72" t="s">
        <v>43</v>
      </c>
      <c r="B3" s="72" t="s">
        <v>44</v>
      </c>
      <c r="C3" s="31" t="s">
        <v>45</v>
      </c>
      <c r="D3" s="73">
        <v>50000</v>
      </c>
      <c r="E3" s="31" t="s">
        <v>27</v>
      </c>
      <c r="F3" s="74">
        <v>1</v>
      </c>
      <c r="G3" s="73">
        <f t="shared" ref="G3:G8" si="0">D3*F3</f>
        <v>50000</v>
      </c>
    </row>
    <row r="4" spans="1:7" ht="19.5" customHeight="1" x14ac:dyDescent="0.35">
      <c r="A4" s="75" t="s">
        <v>46</v>
      </c>
      <c r="B4" s="75" t="s">
        <v>47</v>
      </c>
      <c r="C4" s="76" t="s">
        <v>48</v>
      </c>
      <c r="D4" s="77">
        <v>30000</v>
      </c>
      <c r="E4" s="76" t="s">
        <v>25</v>
      </c>
      <c r="F4" s="78">
        <v>0.7</v>
      </c>
      <c r="G4" s="77">
        <f t="shared" si="0"/>
        <v>21000</v>
      </c>
    </row>
    <row r="5" spans="1:7" ht="19.5" customHeight="1" x14ac:dyDescent="0.35">
      <c r="A5" s="72" t="s">
        <v>49</v>
      </c>
      <c r="B5" s="72" t="s">
        <v>50</v>
      </c>
      <c r="C5" s="31" t="s">
        <v>51</v>
      </c>
      <c r="D5" s="73">
        <v>20000</v>
      </c>
      <c r="E5" s="31" t="s">
        <v>23</v>
      </c>
      <c r="F5" s="74">
        <v>0.4</v>
      </c>
      <c r="G5" s="73">
        <f t="shared" si="0"/>
        <v>8000</v>
      </c>
    </row>
    <row r="6" spans="1:7" ht="19.5" customHeight="1" x14ac:dyDescent="0.35">
      <c r="A6" s="75" t="s">
        <v>52</v>
      </c>
      <c r="B6" s="75" t="s">
        <v>53</v>
      </c>
      <c r="C6" s="76" t="s">
        <v>54</v>
      </c>
      <c r="D6" s="77">
        <v>60000</v>
      </c>
      <c r="E6" s="76" t="s">
        <v>27</v>
      </c>
      <c r="F6" s="78">
        <v>1</v>
      </c>
      <c r="G6" s="77">
        <f t="shared" si="0"/>
        <v>60000</v>
      </c>
    </row>
    <row r="7" spans="1:7" ht="19.5" customHeight="1" x14ac:dyDescent="0.35">
      <c r="A7" s="72" t="s">
        <v>55</v>
      </c>
      <c r="B7" s="72" t="s">
        <v>56</v>
      </c>
      <c r="C7" s="31" t="s">
        <v>57</v>
      </c>
      <c r="D7" s="73">
        <v>25000</v>
      </c>
      <c r="E7" s="31" t="s">
        <v>25</v>
      </c>
      <c r="F7" s="74">
        <v>0.7</v>
      </c>
      <c r="G7" s="73">
        <f t="shared" si="0"/>
        <v>17500</v>
      </c>
    </row>
    <row r="8" spans="1:7" ht="19.5" customHeight="1" x14ac:dyDescent="0.35">
      <c r="A8" s="75" t="s">
        <v>58</v>
      </c>
      <c r="B8" s="75" t="s">
        <v>56</v>
      </c>
      <c r="C8" s="76" t="s">
        <v>59</v>
      </c>
      <c r="D8" s="77">
        <v>15000</v>
      </c>
      <c r="E8" s="76" t="s">
        <v>23</v>
      </c>
      <c r="F8" s="78">
        <v>0.4</v>
      </c>
      <c r="G8" s="77">
        <f t="shared" si="0"/>
        <v>6000</v>
      </c>
    </row>
    <row r="9" spans="1:7" ht="21.75" customHeight="1" x14ac:dyDescent="0.35">
      <c r="A9" s="69" t="s">
        <v>60</v>
      </c>
      <c r="B9" s="79"/>
      <c r="C9" s="79"/>
      <c r="D9" s="62">
        <f>SUM(D3:D8)</f>
        <v>200000</v>
      </c>
      <c r="E9" s="79"/>
      <c r="F9" s="79"/>
      <c r="G9" s="62">
        <f>SUM(G3:G8)</f>
        <v>162500</v>
      </c>
    </row>
    <row r="10" spans="1:7" ht="21.75" customHeight="1" x14ac:dyDescent="0.35"/>
  </sheetData>
  <mergeCells count="1">
    <mergeCell ref="A1:G1"/>
  </mergeCells>
  <dataValidations count="1">
    <dataValidation type="list" allowBlank="1" sqref="E3:E200" xr:uid="{00000000-0002-0000-0100-000000000000}">
      <formula1>"Prospecting (10%),Proposal Sent (40%),Negotiation (70%),Closed-Won (100%),Closed-Lost (0%)"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G10"/>
  <sheetViews>
    <sheetView showGridLines="0" zoomScaleNormal="100" workbookViewId="0">
      <pane ySplit="2" topLeftCell="A3" activePane="bottomLeft" state="frozen"/>
      <selection pane="bottomLeft" sqref="A1:G1"/>
    </sheetView>
  </sheetViews>
  <sheetFormatPr defaultColWidth="8.6328125" defaultRowHeight="14.5" x14ac:dyDescent="0.35"/>
  <cols>
    <col min="1" max="1" width="22" customWidth="1"/>
    <col min="2" max="2" width="18" customWidth="1"/>
    <col min="3" max="3" width="13" customWidth="1"/>
    <col min="4" max="5" width="14" customWidth="1"/>
    <col min="6" max="6" width="13" customWidth="1"/>
    <col min="7" max="7" width="14" customWidth="1"/>
  </cols>
  <sheetData>
    <row r="1" spans="1:7" ht="30" customHeight="1" x14ac:dyDescent="0.35">
      <c r="A1" s="104" t="s">
        <v>61</v>
      </c>
      <c r="B1" s="104"/>
      <c r="C1" s="104"/>
      <c r="D1" s="104"/>
      <c r="E1" s="104"/>
      <c r="F1" s="104"/>
      <c r="G1" s="104"/>
    </row>
    <row r="2" spans="1:7" ht="21.75" customHeight="1" x14ac:dyDescent="0.35">
      <c r="A2" s="71" t="s">
        <v>38</v>
      </c>
      <c r="B2" s="71" t="s">
        <v>39</v>
      </c>
      <c r="C2" s="71" t="s">
        <v>40</v>
      </c>
      <c r="D2" s="71" t="s">
        <v>41</v>
      </c>
      <c r="E2" s="71" t="s">
        <v>13</v>
      </c>
      <c r="F2" s="71" t="s">
        <v>42</v>
      </c>
      <c r="G2" s="71" t="s">
        <v>35</v>
      </c>
    </row>
    <row r="3" spans="1:7" ht="19.5" customHeight="1" x14ac:dyDescent="0.35">
      <c r="A3" s="72" t="s">
        <v>62</v>
      </c>
      <c r="B3" s="72" t="s">
        <v>63</v>
      </c>
      <c r="C3" s="31" t="s">
        <v>64</v>
      </c>
      <c r="D3" s="73">
        <v>40000</v>
      </c>
      <c r="E3" s="31" t="s">
        <v>27</v>
      </c>
      <c r="F3" s="74">
        <v>1</v>
      </c>
      <c r="G3" s="73">
        <f t="shared" ref="G3:G8" si="0">D3*F3</f>
        <v>40000</v>
      </c>
    </row>
    <row r="4" spans="1:7" ht="19.5" customHeight="1" x14ac:dyDescent="0.35">
      <c r="A4" s="75" t="s">
        <v>65</v>
      </c>
      <c r="B4" s="75" t="s">
        <v>66</v>
      </c>
      <c r="C4" s="76" t="s">
        <v>67</v>
      </c>
      <c r="D4" s="77">
        <v>35000</v>
      </c>
      <c r="E4" s="76" t="s">
        <v>25</v>
      </c>
      <c r="F4" s="78">
        <v>0.7</v>
      </c>
      <c r="G4" s="77">
        <f t="shared" si="0"/>
        <v>24500</v>
      </c>
    </row>
    <row r="5" spans="1:7" ht="19.5" customHeight="1" x14ac:dyDescent="0.35">
      <c r="A5" s="72" t="s">
        <v>68</v>
      </c>
      <c r="B5" s="72" t="s">
        <v>69</v>
      </c>
      <c r="C5" s="31" t="s">
        <v>70</v>
      </c>
      <c r="D5" s="73">
        <v>18000</v>
      </c>
      <c r="E5" s="31" t="s">
        <v>23</v>
      </c>
      <c r="F5" s="74">
        <v>0.4</v>
      </c>
      <c r="G5" s="73">
        <f t="shared" si="0"/>
        <v>7200</v>
      </c>
    </row>
    <row r="6" spans="1:7" ht="19.5" customHeight="1" x14ac:dyDescent="0.35">
      <c r="A6" s="75" t="s">
        <v>71</v>
      </c>
      <c r="B6" s="75" t="s">
        <v>72</v>
      </c>
      <c r="C6" s="76" t="s">
        <v>73</v>
      </c>
      <c r="D6" s="77">
        <v>45000</v>
      </c>
      <c r="E6" s="76" t="s">
        <v>27</v>
      </c>
      <c r="F6" s="78">
        <v>1</v>
      </c>
      <c r="G6" s="77">
        <f t="shared" si="0"/>
        <v>45000</v>
      </c>
    </row>
    <row r="7" spans="1:7" ht="19.5" customHeight="1" x14ac:dyDescent="0.35">
      <c r="A7" s="72" t="s">
        <v>74</v>
      </c>
      <c r="B7" s="72" t="s">
        <v>75</v>
      </c>
      <c r="C7" s="31" t="s">
        <v>76</v>
      </c>
      <c r="D7" s="73">
        <v>28000</v>
      </c>
      <c r="E7" s="31" t="s">
        <v>25</v>
      </c>
      <c r="F7" s="74">
        <v>0.7</v>
      </c>
      <c r="G7" s="73">
        <f t="shared" si="0"/>
        <v>19600</v>
      </c>
    </row>
    <row r="8" spans="1:7" ht="19.5" customHeight="1" x14ac:dyDescent="0.35">
      <c r="A8" s="75" t="s">
        <v>77</v>
      </c>
      <c r="B8" s="75" t="s">
        <v>78</v>
      </c>
      <c r="C8" s="76" t="s">
        <v>79</v>
      </c>
      <c r="D8" s="77">
        <v>22000</v>
      </c>
      <c r="E8" s="76" t="s">
        <v>23</v>
      </c>
      <c r="F8" s="78">
        <v>0.4</v>
      </c>
      <c r="G8" s="77">
        <f t="shared" si="0"/>
        <v>8800</v>
      </c>
    </row>
    <row r="9" spans="1:7" ht="21.75" customHeight="1" x14ac:dyDescent="0.35">
      <c r="A9" s="69" t="s">
        <v>60</v>
      </c>
      <c r="B9" s="79"/>
      <c r="C9" s="79"/>
      <c r="D9" s="62">
        <f>SUM(D3:D8)</f>
        <v>188000</v>
      </c>
      <c r="E9" s="79"/>
      <c r="F9" s="79"/>
      <c r="G9" s="62">
        <f>SUM(G3:G8)</f>
        <v>145100</v>
      </c>
    </row>
    <row r="10" spans="1:7" ht="21.75" customHeight="1" x14ac:dyDescent="0.35"/>
  </sheetData>
  <mergeCells count="1">
    <mergeCell ref="A1:G1"/>
  </mergeCells>
  <dataValidations count="1">
    <dataValidation type="list" allowBlank="1" sqref="E3:E200" xr:uid="{00000000-0002-0000-0200-000000000000}">
      <formula1>"Prospecting (10%),Proposal Sent (40%),Negotiation (70%),Closed-Won (100%),Closed-Lost (0%)"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G10"/>
  <sheetViews>
    <sheetView showGridLines="0" zoomScaleNormal="100" workbookViewId="0">
      <pane ySplit="2" topLeftCell="A3" activePane="bottomLeft" state="frozen"/>
      <selection pane="bottomLeft" sqref="A1:G1"/>
    </sheetView>
  </sheetViews>
  <sheetFormatPr defaultColWidth="8.6328125" defaultRowHeight="14.5" x14ac:dyDescent="0.35"/>
  <cols>
    <col min="1" max="1" width="22" customWidth="1"/>
    <col min="2" max="2" width="18" customWidth="1"/>
    <col min="3" max="3" width="13" customWidth="1"/>
    <col min="4" max="5" width="14" customWidth="1"/>
    <col min="6" max="6" width="13" customWidth="1"/>
    <col min="7" max="7" width="14" customWidth="1"/>
  </cols>
  <sheetData>
    <row r="1" spans="1:7" ht="30" customHeight="1" x14ac:dyDescent="0.35">
      <c r="A1" s="104" t="s">
        <v>80</v>
      </c>
      <c r="B1" s="104"/>
      <c r="C1" s="104"/>
      <c r="D1" s="104"/>
      <c r="E1" s="104"/>
      <c r="F1" s="104"/>
      <c r="G1" s="104"/>
    </row>
    <row r="2" spans="1:7" ht="21.75" customHeight="1" x14ac:dyDescent="0.35">
      <c r="A2" s="71" t="s">
        <v>38</v>
      </c>
      <c r="B2" s="71" t="s">
        <v>39</v>
      </c>
      <c r="C2" s="71" t="s">
        <v>40</v>
      </c>
      <c r="D2" s="71" t="s">
        <v>41</v>
      </c>
      <c r="E2" s="71" t="s">
        <v>13</v>
      </c>
      <c r="F2" s="71" t="s">
        <v>42</v>
      </c>
      <c r="G2" s="71" t="s">
        <v>35</v>
      </c>
    </row>
    <row r="3" spans="1:7" ht="19.5" customHeight="1" x14ac:dyDescent="0.35">
      <c r="A3" s="72" t="s">
        <v>81</v>
      </c>
      <c r="B3" s="72" t="s">
        <v>82</v>
      </c>
      <c r="C3" s="31" t="s">
        <v>83</v>
      </c>
      <c r="D3" s="73">
        <v>55000</v>
      </c>
      <c r="E3" s="31" t="s">
        <v>27</v>
      </c>
      <c r="F3" s="74">
        <v>1</v>
      </c>
      <c r="G3" s="73">
        <f t="shared" ref="G3:G8" si="0">D3*F3</f>
        <v>55000</v>
      </c>
    </row>
    <row r="4" spans="1:7" ht="19.5" customHeight="1" x14ac:dyDescent="0.35">
      <c r="A4" s="75" t="s">
        <v>84</v>
      </c>
      <c r="B4" s="75" t="s">
        <v>85</v>
      </c>
      <c r="C4" s="76" t="s">
        <v>86</v>
      </c>
      <c r="D4" s="77">
        <v>32000</v>
      </c>
      <c r="E4" s="76" t="s">
        <v>25</v>
      </c>
      <c r="F4" s="78">
        <v>0.7</v>
      </c>
      <c r="G4" s="77">
        <f t="shared" si="0"/>
        <v>22400</v>
      </c>
    </row>
    <row r="5" spans="1:7" ht="19.5" customHeight="1" x14ac:dyDescent="0.35">
      <c r="A5" s="72" t="s">
        <v>87</v>
      </c>
      <c r="B5" s="72" t="s">
        <v>88</v>
      </c>
      <c r="C5" s="31" t="s">
        <v>51</v>
      </c>
      <c r="D5" s="73">
        <v>21000</v>
      </c>
      <c r="E5" s="31" t="s">
        <v>23</v>
      </c>
      <c r="F5" s="74">
        <v>0.4</v>
      </c>
      <c r="G5" s="73">
        <f t="shared" si="0"/>
        <v>8400</v>
      </c>
    </row>
    <row r="6" spans="1:7" ht="19.5" customHeight="1" x14ac:dyDescent="0.35">
      <c r="A6" s="75" t="s">
        <v>89</v>
      </c>
      <c r="B6" s="75" t="s">
        <v>90</v>
      </c>
      <c r="C6" s="76" t="s">
        <v>91</v>
      </c>
      <c r="D6" s="77">
        <v>70000</v>
      </c>
      <c r="E6" s="76" t="s">
        <v>27</v>
      </c>
      <c r="F6" s="78">
        <v>1</v>
      </c>
      <c r="G6" s="77">
        <f t="shared" si="0"/>
        <v>70000</v>
      </c>
    </row>
    <row r="7" spans="1:7" ht="19.5" customHeight="1" x14ac:dyDescent="0.35">
      <c r="A7" s="72" t="s">
        <v>92</v>
      </c>
      <c r="B7" s="72" t="s">
        <v>93</v>
      </c>
      <c r="C7" s="31" t="s">
        <v>94</v>
      </c>
      <c r="D7" s="73">
        <v>27000</v>
      </c>
      <c r="E7" s="31" t="s">
        <v>25</v>
      </c>
      <c r="F7" s="74">
        <v>0.7</v>
      </c>
      <c r="G7" s="73">
        <f t="shared" si="0"/>
        <v>18900</v>
      </c>
    </row>
    <row r="8" spans="1:7" ht="19.5" customHeight="1" x14ac:dyDescent="0.35">
      <c r="A8" s="75" t="s">
        <v>95</v>
      </c>
      <c r="B8" s="75" t="s">
        <v>96</v>
      </c>
      <c r="C8" s="76" t="s">
        <v>97</v>
      </c>
      <c r="D8" s="77">
        <v>19000</v>
      </c>
      <c r="E8" s="76" t="s">
        <v>23</v>
      </c>
      <c r="F8" s="78">
        <v>0.4</v>
      </c>
      <c r="G8" s="77">
        <f t="shared" si="0"/>
        <v>7600</v>
      </c>
    </row>
    <row r="9" spans="1:7" ht="21.75" customHeight="1" x14ac:dyDescent="0.35">
      <c r="A9" s="69" t="s">
        <v>60</v>
      </c>
      <c r="B9" s="79"/>
      <c r="C9" s="79"/>
      <c r="D9" s="62">
        <f>SUM(D3:D8)</f>
        <v>224000</v>
      </c>
      <c r="E9" s="79"/>
      <c r="F9" s="79"/>
      <c r="G9" s="62">
        <f>SUM(G3:G8)</f>
        <v>182300</v>
      </c>
    </row>
    <row r="10" spans="1:7" ht="21.75" customHeight="1" x14ac:dyDescent="0.35"/>
  </sheetData>
  <mergeCells count="1">
    <mergeCell ref="A1:G1"/>
  </mergeCells>
  <dataValidations count="1">
    <dataValidation type="list" allowBlank="1" sqref="E3:E200" xr:uid="{00000000-0002-0000-0300-000000000000}">
      <formula1>"Prospecting (10%),Proposal Sent (40%),Negotiation (70%),Closed-Won (100%),Closed-Lost (0%)"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showGridLines="0" topLeftCell="A7" zoomScaleNormal="100" workbookViewId="0">
      <selection sqref="A1:H1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8" customWidth="1"/>
    <col min="4" max="5" width="13" customWidth="1"/>
    <col min="6" max="6" width="14" customWidth="1"/>
    <col min="7" max="8" width="13" customWidth="1"/>
  </cols>
  <sheetData>
    <row r="1" spans="1:8" ht="30" customHeight="1" x14ac:dyDescent="0.35">
      <c r="A1" s="104" t="s">
        <v>98</v>
      </c>
      <c r="B1" s="104"/>
      <c r="C1" s="104"/>
      <c r="D1" s="104"/>
      <c r="E1" s="104"/>
      <c r="F1" s="104"/>
      <c r="G1" s="104"/>
      <c r="H1" s="104"/>
    </row>
    <row r="2" spans="1:8" ht="21.75" customHeight="1" x14ac:dyDescent="0.35">
      <c r="A2" s="71" t="s">
        <v>17</v>
      </c>
      <c r="B2" s="71" t="s">
        <v>38</v>
      </c>
      <c r="C2" s="71" t="s">
        <v>39</v>
      </c>
      <c r="D2" s="71" t="s">
        <v>40</v>
      </c>
      <c r="E2" s="71" t="s">
        <v>41</v>
      </c>
      <c r="F2" s="71" t="s">
        <v>13</v>
      </c>
      <c r="G2" s="71" t="s">
        <v>42</v>
      </c>
      <c r="H2" s="71" t="s">
        <v>35</v>
      </c>
    </row>
    <row r="3" spans="1:8" ht="19.5" customHeight="1" x14ac:dyDescent="0.35">
      <c r="A3" s="75" t="s">
        <v>22</v>
      </c>
      <c r="B3" s="75" t="s">
        <v>43</v>
      </c>
      <c r="C3" s="75" t="s">
        <v>44</v>
      </c>
      <c r="D3" s="76" t="s">
        <v>45</v>
      </c>
      <c r="E3" s="77">
        <v>50000</v>
      </c>
      <c r="F3" s="76" t="s">
        <v>27</v>
      </c>
      <c r="G3" s="78">
        <v>1</v>
      </c>
      <c r="H3" s="77">
        <v>50000</v>
      </c>
    </row>
    <row r="4" spans="1:8" ht="19.5" customHeight="1" x14ac:dyDescent="0.35">
      <c r="A4" s="72" t="s">
        <v>22</v>
      </c>
      <c r="B4" s="72" t="s">
        <v>46</v>
      </c>
      <c r="C4" s="72" t="s">
        <v>47</v>
      </c>
      <c r="D4" s="31" t="s">
        <v>48</v>
      </c>
      <c r="E4" s="73">
        <v>30000</v>
      </c>
      <c r="F4" s="31" t="s">
        <v>25</v>
      </c>
      <c r="G4" s="74">
        <v>0.7</v>
      </c>
      <c r="H4" s="73">
        <v>21000</v>
      </c>
    </row>
    <row r="5" spans="1:8" ht="19.5" customHeight="1" x14ac:dyDescent="0.35">
      <c r="A5" s="75" t="s">
        <v>22</v>
      </c>
      <c r="B5" s="75" t="s">
        <v>49</v>
      </c>
      <c r="C5" s="75" t="s">
        <v>50</v>
      </c>
      <c r="D5" s="76" t="s">
        <v>51</v>
      </c>
      <c r="E5" s="77">
        <v>20000</v>
      </c>
      <c r="F5" s="76" t="s">
        <v>23</v>
      </c>
      <c r="G5" s="78">
        <v>0.4</v>
      </c>
      <c r="H5" s="77">
        <v>8000</v>
      </c>
    </row>
    <row r="6" spans="1:8" ht="19.5" customHeight="1" x14ac:dyDescent="0.35">
      <c r="A6" s="72" t="s">
        <v>22</v>
      </c>
      <c r="B6" s="72" t="s">
        <v>52</v>
      </c>
      <c r="C6" s="72" t="s">
        <v>53</v>
      </c>
      <c r="D6" s="31" t="s">
        <v>54</v>
      </c>
      <c r="E6" s="73">
        <v>60000</v>
      </c>
      <c r="F6" s="31" t="s">
        <v>27</v>
      </c>
      <c r="G6" s="74">
        <v>1</v>
      </c>
      <c r="H6" s="73">
        <v>60000</v>
      </c>
    </row>
    <row r="7" spans="1:8" ht="19.5" customHeight="1" x14ac:dyDescent="0.35">
      <c r="A7" s="75" t="s">
        <v>22</v>
      </c>
      <c r="B7" s="75" t="s">
        <v>55</v>
      </c>
      <c r="C7" s="75" t="s">
        <v>56</v>
      </c>
      <c r="D7" s="76" t="s">
        <v>57</v>
      </c>
      <c r="E7" s="77">
        <v>25000</v>
      </c>
      <c r="F7" s="76" t="s">
        <v>25</v>
      </c>
      <c r="G7" s="78">
        <v>0.7</v>
      </c>
      <c r="H7" s="77">
        <v>17500</v>
      </c>
    </row>
    <row r="8" spans="1:8" ht="19.5" customHeight="1" x14ac:dyDescent="0.35">
      <c r="A8" s="72" t="s">
        <v>22</v>
      </c>
      <c r="B8" s="72" t="s">
        <v>58</v>
      </c>
      <c r="C8" s="72" t="s">
        <v>56</v>
      </c>
      <c r="D8" s="31" t="s">
        <v>59</v>
      </c>
      <c r="E8" s="73">
        <v>15000</v>
      </c>
      <c r="F8" s="31" t="s">
        <v>23</v>
      </c>
      <c r="G8" s="74">
        <v>0.4</v>
      </c>
      <c r="H8" s="73">
        <v>6000</v>
      </c>
    </row>
    <row r="9" spans="1:8" ht="19.5" customHeight="1" x14ac:dyDescent="0.35">
      <c r="A9" s="75" t="s">
        <v>24</v>
      </c>
      <c r="B9" s="75" t="s">
        <v>62</v>
      </c>
      <c r="C9" s="75" t="s">
        <v>63</v>
      </c>
      <c r="D9" s="76" t="s">
        <v>64</v>
      </c>
      <c r="E9" s="77">
        <v>40000</v>
      </c>
      <c r="F9" s="76" t="s">
        <v>27</v>
      </c>
      <c r="G9" s="78">
        <v>1</v>
      </c>
      <c r="H9" s="77">
        <v>40000</v>
      </c>
    </row>
    <row r="10" spans="1:8" ht="19.5" customHeight="1" x14ac:dyDescent="0.35">
      <c r="A10" s="72" t="s">
        <v>24</v>
      </c>
      <c r="B10" s="72" t="s">
        <v>65</v>
      </c>
      <c r="C10" s="72" t="s">
        <v>66</v>
      </c>
      <c r="D10" s="31" t="s">
        <v>67</v>
      </c>
      <c r="E10" s="73">
        <v>35000</v>
      </c>
      <c r="F10" s="31" t="s">
        <v>25</v>
      </c>
      <c r="G10" s="74">
        <v>0.7</v>
      </c>
      <c r="H10" s="73">
        <v>24500</v>
      </c>
    </row>
    <row r="11" spans="1:8" ht="19.5" customHeight="1" x14ac:dyDescent="0.35">
      <c r="A11" s="75" t="s">
        <v>24</v>
      </c>
      <c r="B11" s="75" t="s">
        <v>68</v>
      </c>
      <c r="C11" s="75" t="s">
        <v>69</v>
      </c>
      <c r="D11" s="76" t="s">
        <v>70</v>
      </c>
      <c r="E11" s="77">
        <v>18000</v>
      </c>
      <c r="F11" s="76" t="s">
        <v>23</v>
      </c>
      <c r="G11" s="78">
        <v>0.4</v>
      </c>
      <c r="H11" s="77">
        <v>7200</v>
      </c>
    </row>
    <row r="12" spans="1:8" ht="19.5" customHeight="1" x14ac:dyDescent="0.35">
      <c r="A12" s="72" t="s">
        <v>24</v>
      </c>
      <c r="B12" s="72" t="s">
        <v>71</v>
      </c>
      <c r="C12" s="72" t="s">
        <v>72</v>
      </c>
      <c r="D12" s="31" t="s">
        <v>73</v>
      </c>
      <c r="E12" s="73">
        <v>45000</v>
      </c>
      <c r="F12" s="31" t="s">
        <v>27</v>
      </c>
      <c r="G12" s="74">
        <v>1</v>
      </c>
      <c r="H12" s="73">
        <v>45000</v>
      </c>
    </row>
    <row r="13" spans="1:8" ht="19.5" customHeight="1" x14ac:dyDescent="0.35">
      <c r="A13" s="75" t="s">
        <v>24</v>
      </c>
      <c r="B13" s="75" t="s">
        <v>74</v>
      </c>
      <c r="C13" s="75" t="s">
        <v>75</v>
      </c>
      <c r="D13" s="76" t="s">
        <v>76</v>
      </c>
      <c r="E13" s="77">
        <v>28000</v>
      </c>
      <c r="F13" s="76" t="s">
        <v>25</v>
      </c>
      <c r="G13" s="78">
        <v>0.7</v>
      </c>
      <c r="H13" s="77">
        <v>19600</v>
      </c>
    </row>
    <row r="14" spans="1:8" ht="19.5" customHeight="1" x14ac:dyDescent="0.35">
      <c r="A14" s="72" t="s">
        <v>24</v>
      </c>
      <c r="B14" s="72" t="s">
        <v>77</v>
      </c>
      <c r="C14" s="72" t="s">
        <v>78</v>
      </c>
      <c r="D14" s="31" t="s">
        <v>79</v>
      </c>
      <c r="E14" s="73">
        <v>22000</v>
      </c>
      <c r="F14" s="31" t="s">
        <v>23</v>
      </c>
      <c r="G14" s="74">
        <v>0.4</v>
      </c>
      <c r="H14" s="73">
        <v>8800</v>
      </c>
    </row>
    <row r="15" spans="1:8" ht="19.5" customHeight="1" x14ac:dyDescent="0.35">
      <c r="A15" s="75" t="s">
        <v>26</v>
      </c>
      <c r="B15" s="75" t="s">
        <v>81</v>
      </c>
      <c r="C15" s="75" t="s">
        <v>82</v>
      </c>
      <c r="D15" s="76" t="s">
        <v>83</v>
      </c>
      <c r="E15" s="77">
        <v>55000</v>
      </c>
      <c r="F15" s="76" t="s">
        <v>27</v>
      </c>
      <c r="G15" s="78">
        <v>1</v>
      </c>
      <c r="H15" s="77">
        <v>55000</v>
      </c>
    </row>
    <row r="16" spans="1:8" ht="19.5" customHeight="1" x14ac:dyDescent="0.35">
      <c r="A16" s="72" t="s">
        <v>26</v>
      </c>
      <c r="B16" s="72" t="s">
        <v>84</v>
      </c>
      <c r="C16" s="72" t="s">
        <v>85</v>
      </c>
      <c r="D16" s="31" t="s">
        <v>86</v>
      </c>
      <c r="E16" s="73">
        <v>32000</v>
      </c>
      <c r="F16" s="31" t="s">
        <v>25</v>
      </c>
      <c r="G16" s="74">
        <v>0.7</v>
      </c>
      <c r="H16" s="73">
        <v>22400</v>
      </c>
    </row>
    <row r="17" spans="1:8" ht="19.5" customHeight="1" x14ac:dyDescent="0.35">
      <c r="A17" s="75" t="s">
        <v>26</v>
      </c>
      <c r="B17" s="75" t="s">
        <v>87</v>
      </c>
      <c r="C17" s="75" t="s">
        <v>88</v>
      </c>
      <c r="D17" s="76" t="s">
        <v>51</v>
      </c>
      <c r="E17" s="77">
        <v>21000</v>
      </c>
      <c r="F17" s="76" t="s">
        <v>23</v>
      </c>
      <c r="G17" s="78">
        <v>0.4</v>
      </c>
      <c r="H17" s="77">
        <v>8400</v>
      </c>
    </row>
    <row r="18" spans="1:8" ht="19.5" customHeight="1" x14ac:dyDescent="0.35">
      <c r="A18" s="72" t="s">
        <v>26</v>
      </c>
      <c r="B18" s="72" t="s">
        <v>89</v>
      </c>
      <c r="C18" s="72" t="s">
        <v>90</v>
      </c>
      <c r="D18" s="31" t="s">
        <v>91</v>
      </c>
      <c r="E18" s="73">
        <v>70000</v>
      </c>
      <c r="F18" s="31" t="s">
        <v>27</v>
      </c>
      <c r="G18" s="74">
        <v>1</v>
      </c>
      <c r="H18" s="73">
        <v>70000</v>
      </c>
    </row>
    <row r="19" spans="1:8" ht="19.5" customHeight="1" x14ac:dyDescent="0.35">
      <c r="A19" s="75" t="s">
        <v>26</v>
      </c>
      <c r="B19" s="75" t="s">
        <v>92</v>
      </c>
      <c r="C19" s="75" t="s">
        <v>93</v>
      </c>
      <c r="D19" s="76" t="s">
        <v>94</v>
      </c>
      <c r="E19" s="77">
        <v>27000</v>
      </c>
      <c r="F19" s="76" t="s">
        <v>25</v>
      </c>
      <c r="G19" s="78">
        <v>0.7</v>
      </c>
      <c r="H19" s="77">
        <v>18900</v>
      </c>
    </row>
    <row r="20" spans="1:8" ht="19.5" customHeight="1" x14ac:dyDescent="0.35">
      <c r="A20" s="72" t="s">
        <v>26</v>
      </c>
      <c r="B20" s="72" t="s">
        <v>95</v>
      </c>
      <c r="C20" s="72" t="s">
        <v>96</v>
      </c>
      <c r="D20" s="31" t="s">
        <v>97</v>
      </c>
      <c r="E20" s="73">
        <v>19000</v>
      </c>
      <c r="F20" s="31" t="s">
        <v>23</v>
      </c>
      <c r="G20" s="74">
        <v>0.4</v>
      </c>
      <c r="H20" s="73">
        <v>7600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B14"/>
  <sheetViews>
    <sheetView showGridLines="0" tabSelected="1" zoomScaleNormal="100" workbookViewId="0">
      <selection activeCell="B2" sqref="B2"/>
    </sheetView>
  </sheetViews>
  <sheetFormatPr defaultColWidth="8.6328125" defaultRowHeight="14.5" x14ac:dyDescent="0.35"/>
  <cols>
    <col min="1" max="1" width="20" customWidth="1"/>
    <col min="2" max="2" width="22" customWidth="1"/>
  </cols>
  <sheetData>
    <row r="1" spans="1:2" ht="30" customHeight="1" x14ac:dyDescent="0.35">
      <c r="A1" s="104" t="s">
        <v>99</v>
      </c>
      <c r="B1" s="104"/>
    </row>
    <row r="2" spans="1:2" ht="14.25" customHeight="1" x14ac:dyDescent="0.35">
      <c r="A2" s="80" t="s">
        <v>100</v>
      </c>
      <c r="B2" s="81" t="s">
        <v>101</v>
      </c>
    </row>
    <row r="3" spans="1:2" ht="21.75" customHeight="1" x14ac:dyDescent="0.35">
      <c r="A3" s="80" t="s">
        <v>102</v>
      </c>
      <c r="B3" s="81" t="s">
        <v>103</v>
      </c>
    </row>
    <row r="4" spans="1:2" ht="21.75" customHeight="1" x14ac:dyDescent="0.35">
      <c r="A4" s="82" t="s">
        <v>104</v>
      </c>
      <c r="B4" s="82" t="s">
        <v>42</v>
      </c>
    </row>
    <row r="5" spans="1:2" ht="21.75" customHeight="1" x14ac:dyDescent="0.35">
      <c r="A5" s="105" t="s">
        <v>21</v>
      </c>
      <c r="B5" s="105"/>
    </row>
    <row r="6" spans="1:2" ht="24" customHeight="1" x14ac:dyDescent="0.35">
      <c r="A6" s="76" t="s">
        <v>23</v>
      </c>
      <c r="B6" s="78">
        <v>0.4</v>
      </c>
    </row>
    <row r="7" spans="1:2" ht="21.75" customHeight="1" x14ac:dyDescent="0.35">
      <c r="A7" s="31" t="s">
        <v>25</v>
      </c>
      <c r="B7" s="74">
        <v>0.7</v>
      </c>
    </row>
    <row r="8" spans="1:2" ht="21.75" customHeight="1" x14ac:dyDescent="0.35">
      <c r="A8" s="76" t="s">
        <v>27</v>
      </c>
      <c r="B8" s="78">
        <v>1</v>
      </c>
    </row>
    <row r="9" spans="1:2" ht="21.75" customHeight="1" x14ac:dyDescent="0.35">
      <c r="A9" s="31" t="s">
        <v>29</v>
      </c>
      <c r="B9" s="74">
        <v>0</v>
      </c>
    </row>
    <row r="11" spans="1:2" ht="14.25" customHeight="1" x14ac:dyDescent="0.35">
      <c r="A11" s="82" t="s">
        <v>105</v>
      </c>
      <c r="B11" s="82" t="s">
        <v>106</v>
      </c>
    </row>
    <row r="12" spans="1:2" ht="14.25" customHeight="1" x14ac:dyDescent="0.35">
      <c r="A12" s="31" t="s">
        <v>107</v>
      </c>
      <c r="B12" s="73">
        <v>100000</v>
      </c>
    </row>
    <row r="13" spans="1:2" ht="14.25" customHeight="1" x14ac:dyDescent="0.35">
      <c r="A13" s="76" t="s">
        <v>108</v>
      </c>
      <c r="B13" s="77">
        <v>50000</v>
      </c>
    </row>
    <row r="14" spans="1:2" ht="14.25" customHeight="1" x14ac:dyDescent="0.35">
      <c r="A14" s="31" t="s">
        <v>109</v>
      </c>
      <c r="B14" s="73">
        <v>50000</v>
      </c>
    </row>
  </sheetData>
  <mergeCells count="2">
    <mergeCell ref="A1:B1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6A34A"/>
  </sheetPr>
  <dimension ref="A1:A219"/>
  <sheetViews>
    <sheetView topLeftCell="A199" zoomScaleNormal="100" workbookViewId="0">
      <selection activeCell="A7" sqref="A7"/>
    </sheetView>
  </sheetViews>
  <sheetFormatPr defaultColWidth="8.6328125" defaultRowHeight="14.5" x14ac:dyDescent="0.35"/>
  <cols>
    <col min="1" max="1" width="120" customWidth="1"/>
  </cols>
  <sheetData>
    <row r="1" spans="1:1" ht="27.75" customHeight="1" x14ac:dyDescent="0.35">
      <c r="A1" s="83" t="s">
        <v>110</v>
      </c>
    </row>
    <row r="2" spans="1:1" ht="13.5" customHeight="1" x14ac:dyDescent="0.35">
      <c r="A2" s="84" t="s">
        <v>111</v>
      </c>
    </row>
    <row r="3" spans="1:1" ht="13.5" customHeight="1" x14ac:dyDescent="0.35">
      <c r="A3" s="85" t="s">
        <v>112</v>
      </c>
    </row>
    <row r="4" spans="1:1" ht="13.5" customHeight="1" x14ac:dyDescent="0.35">
      <c r="A4" s="84" t="s">
        <v>113</v>
      </c>
    </row>
    <row r="5" spans="1:1" ht="13.5" customHeight="1" x14ac:dyDescent="0.35">
      <c r="A5" s="85" t="s">
        <v>114</v>
      </c>
    </row>
    <row r="6" spans="1:1" ht="13.5" customHeight="1" x14ac:dyDescent="0.35">
      <c r="A6" s="84" t="s">
        <v>271</v>
      </c>
    </row>
    <row r="7" spans="1:1" ht="13.5" customHeight="1" x14ac:dyDescent="0.35">
      <c r="A7" s="84"/>
    </row>
    <row r="8" spans="1:1" ht="13.5" customHeight="1" x14ac:dyDescent="0.35">
      <c r="A8" s="84" t="s">
        <v>112</v>
      </c>
    </row>
    <row r="9" spans="1:1" ht="13.5" customHeight="1" x14ac:dyDescent="0.35">
      <c r="A9" s="85" t="s">
        <v>115</v>
      </c>
    </row>
    <row r="10" spans="1:1" ht="13.5" customHeight="1" x14ac:dyDescent="0.35">
      <c r="A10" s="84"/>
    </row>
    <row r="11" spans="1:1" ht="13.5" customHeight="1" x14ac:dyDescent="0.35">
      <c r="A11" s="85" t="s">
        <v>116</v>
      </c>
    </row>
    <row r="12" spans="1:1" ht="13.5" customHeight="1" x14ac:dyDescent="0.35">
      <c r="A12" s="84" t="s">
        <v>117</v>
      </c>
    </row>
    <row r="13" spans="1:1" ht="13.5" customHeight="1" x14ac:dyDescent="0.35">
      <c r="A13" s="85" t="s">
        <v>118</v>
      </c>
    </row>
    <row r="14" spans="1:1" ht="13.5" customHeight="1" x14ac:dyDescent="0.35">
      <c r="A14" s="84" t="s">
        <v>119</v>
      </c>
    </row>
    <row r="15" spans="1:1" ht="13.5" customHeight="1" x14ac:dyDescent="0.35">
      <c r="A15" s="85" t="s">
        <v>120</v>
      </c>
    </row>
    <row r="16" spans="1:1" ht="13.5" customHeight="1" x14ac:dyDescent="0.35">
      <c r="A16" s="84"/>
    </row>
    <row r="17" spans="1:1" ht="13.5" customHeight="1" x14ac:dyDescent="0.35">
      <c r="A17" s="85" t="s">
        <v>121</v>
      </c>
    </row>
    <row r="18" spans="1:1" ht="13.5" customHeight="1" x14ac:dyDescent="0.35">
      <c r="A18" s="84" t="s">
        <v>111</v>
      </c>
    </row>
    <row r="19" spans="1:1" ht="13.5" customHeight="1" x14ac:dyDescent="0.35">
      <c r="A19" s="85" t="s">
        <v>122</v>
      </c>
    </row>
    <row r="20" spans="1:1" ht="13.5" customHeight="1" x14ac:dyDescent="0.35">
      <c r="A20" s="84" t="s">
        <v>115</v>
      </c>
    </row>
    <row r="21" spans="1:1" ht="13.5" customHeight="1" x14ac:dyDescent="0.35">
      <c r="A21" s="85" t="s">
        <v>123</v>
      </c>
    </row>
    <row r="22" spans="1:1" ht="13.5" customHeight="1" x14ac:dyDescent="0.35">
      <c r="A22" s="84" t="s">
        <v>124</v>
      </c>
    </row>
    <row r="23" spans="1:1" ht="13.5" customHeight="1" x14ac:dyDescent="0.35">
      <c r="A23" s="85" t="s">
        <v>125</v>
      </c>
    </row>
    <row r="24" spans="1:1" ht="13.5" customHeight="1" x14ac:dyDescent="0.35">
      <c r="A24" s="84" t="s">
        <v>126</v>
      </c>
    </row>
    <row r="25" spans="1:1" ht="13.5" customHeight="1" x14ac:dyDescent="0.35">
      <c r="A25" s="85" t="s">
        <v>127</v>
      </c>
    </row>
    <row r="26" spans="1:1" ht="13.5" customHeight="1" x14ac:dyDescent="0.35">
      <c r="A26" s="84" t="s">
        <v>128</v>
      </c>
    </row>
    <row r="27" spans="1:1" ht="13.5" customHeight="1" x14ac:dyDescent="0.35">
      <c r="A27" s="85" t="s">
        <v>129</v>
      </c>
    </row>
    <row r="28" spans="1:1" ht="13.5" customHeight="1" x14ac:dyDescent="0.35">
      <c r="A28" s="84" t="s">
        <v>130</v>
      </c>
    </row>
    <row r="29" spans="1:1" ht="13.5" customHeight="1" x14ac:dyDescent="0.35">
      <c r="A29" s="85" t="s">
        <v>131</v>
      </c>
    </row>
    <row r="30" spans="1:1" ht="13.5" customHeight="1" x14ac:dyDescent="0.35">
      <c r="A30" s="84"/>
    </row>
    <row r="31" spans="1:1" ht="13.5" customHeight="1" x14ac:dyDescent="0.35">
      <c r="A31" s="85" t="s">
        <v>132</v>
      </c>
    </row>
    <row r="32" spans="1:1" ht="13.5" customHeight="1" x14ac:dyDescent="0.35">
      <c r="A32" s="84" t="s">
        <v>111</v>
      </c>
    </row>
    <row r="33" spans="1:1" ht="13.5" customHeight="1" x14ac:dyDescent="0.35">
      <c r="A33" s="85" t="s">
        <v>133</v>
      </c>
    </row>
    <row r="34" spans="1:1" ht="13.5" customHeight="1" x14ac:dyDescent="0.35">
      <c r="A34" s="84" t="s">
        <v>134</v>
      </c>
    </row>
    <row r="35" spans="1:1" ht="13.5" customHeight="1" x14ac:dyDescent="0.35">
      <c r="A35" s="85" t="s">
        <v>115</v>
      </c>
    </row>
    <row r="36" spans="1:1" ht="13.5" customHeight="1" x14ac:dyDescent="0.35">
      <c r="A36" s="84" t="s">
        <v>135</v>
      </c>
    </row>
    <row r="37" spans="1:1" ht="13.5" customHeight="1" x14ac:dyDescent="0.35">
      <c r="A37" s="85" t="s">
        <v>136</v>
      </c>
    </row>
    <row r="38" spans="1:1" ht="13.5" customHeight="1" x14ac:dyDescent="0.35">
      <c r="A38" s="84" t="s">
        <v>137</v>
      </c>
    </row>
    <row r="39" spans="1:1" ht="13.5" customHeight="1" x14ac:dyDescent="0.35">
      <c r="A39" s="85"/>
    </row>
    <row r="40" spans="1:1" ht="13.5" customHeight="1" x14ac:dyDescent="0.35">
      <c r="A40" s="84" t="s">
        <v>138</v>
      </c>
    </row>
    <row r="41" spans="1:1" ht="13.5" customHeight="1" x14ac:dyDescent="0.35">
      <c r="A41" s="85" t="s">
        <v>139</v>
      </c>
    </row>
    <row r="42" spans="1:1" ht="13.5" customHeight="1" x14ac:dyDescent="0.35">
      <c r="A42" s="84" t="s">
        <v>140</v>
      </c>
    </row>
    <row r="43" spans="1:1" ht="13.5" customHeight="1" x14ac:dyDescent="0.35">
      <c r="A43" s="85"/>
    </row>
    <row r="44" spans="1:1" ht="13.5" customHeight="1" x14ac:dyDescent="0.35">
      <c r="A44" s="84" t="s">
        <v>141</v>
      </c>
    </row>
    <row r="45" spans="1:1" ht="13.5" customHeight="1" x14ac:dyDescent="0.35">
      <c r="A45" s="85" t="s">
        <v>142</v>
      </c>
    </row>
    <row r="46" spans="1:1" ht="13.5" customHeight="1" x14ac:dyDescent="0.35">
      <c r="A46" s="84" t="s">
        <v>143</v>
      </c>
    </row>
    <row r="47" spans="1:1" ht="13.5" customHeight="1" x14ac:dyDescent="0.35">
      <c r="A47" s="85" t="s">
        <v>144</v>
      </c>
    </row>
    <row r="48" spans="1:1" ht="13.5" customHeight="1" x14ac:dyDescent="0.35">
      <c r="A48" s="84"/>
    </row>
    <row r="49" spans="1:1" ht="13.5" customHeight="1" x14ac:dyDescent="0.35">
      <c r="A49" s="85" t="s">
        <v>145</v>
      </c>
    </row>
    <row r="50" spans="1:1" ht="13.5" customHeight="1" x14ac:dyDescent="0.35">
      <c r="A50" s="84" t="s">
        <v>146</v>
      </c>
    </row>
    <row r="51" spans="1:1" ht="13.5" customHeight="1" x14ac:dyDescent="0.35">
      <c r="A51" s="85" t="s">
        <v>147</v>
      </c>
    </row>
    <row r="52" spans="1:1" ht="13.5" customHeight="1" x14ac:dyDescent="0.35">
      <c r="A52" s="84"/>
    </row>
    <row r="53" spans="1:1" ht="13.5" customHeight="1" x14ac:dyDescent="0.35">
      <c r="A53" s="85" t="s">
        <v>148</v>
      </c>
    </row>
    <row r="54" spans="1:1" ht="13.5" customHeight="1" x14ac:dyDescent="0.35">
      <c r="A54" s="84" t="s">
        <v>149</v>
      </c>
    </row>
    <row r="55" spans="1:1" ht="13.5" customHeight="1" x14ac:dyDescent="0.35">
      <c r="A55" s="85" t="s">
        <v>150</v>
      </c>
    </row>
    <row r="56" spans="1:1" ht="13.5" customHeight="1" x14ac:dyDescent="0.35">
      <c r="A56" s="84" t="s">
        <v>151</v>
      </c>
    </row>
    <row r="57" spans="1:1" ht="13.5" customHeight="1" x14ac:dyDescent="0.35">
      <c r="A57" s="85" t="s">
        <v>152</v>
      </c>
    </row>
    <row r="58" spans="1:1" ht="13.5" customHeight="1" x14ac:dyDescent="0.35">
      <c r="A58" s="84" t="s">
        <v>153</v>
      </c>
    </row>
    <row r="59" spans="1:1" ht="13.5" customHeight="1" x14ac:dyDescent="0.35">
      <c r="A59" s="85" t="s">
        <v>154</v>
      </c>
    </row>
    <row r="60" spans="1:1" ht="13.5" customHeight="1" x14ac:dyDescent="0.35">
      <c r="A60" s="84" t="s">
        <v>155</v>
      </c>
    </row>
    <row r="61" spans="1:1" ht="13.5" customHeight="1" x14ac:dyDescent="0.35">
      <c r="A61" s="85" t="s">
        <v>156</v>
      </c>
    </row>
    <row r="62" spans="1:1" ht="13.5" customHeight="1" x14ac:dyDescent="0.35">
      <c r="A62" s="84" t="s">
        <v>157</v>
      </c>
    </row>
    <row r="63" spans="1:1" ht="13.5" customHeight="1" x14ac:dyDescent="0.35">
      <c r="A63" s="85" t="s">
        <v>158</v>
      </c>
    </row>
    <row r="64" spans="1:1" ht="13.5" customHeight="1" x14ac:dyDescent="0.35">
      <c r="A64" s="84"/>
    </row>
    <row r="65" spans="1:1" ht="13.5" customHeight="1" x14ac:dyDescent="0.35">
      <c r="A65" s="85" t="s">
        <v>159</v>
      </c>
    </row>
    <row r="66" spans="1:1" ht="13.5" customHeight="1" x14ac:dyDescent="0.35">
      <c r="A66" s="84" t="s">
        <v>160</v>
      </c>
    </row>
    <row r="67" spans="1:1" ht="13.5" customHeight="1" x14ac:dyDescent="0.35">
      <c r="A67" s="85" t="s">
        <v>161</v>
      </c>
    </row>
    <row r="68" spans="1:1" ht="13.5" customHeight="1" x14ac:dyDescent="0.35">
      <c r="A68" s="84" t="s">
        <v>158</v>
      </c>
    </row>
    <row r="69" spans="1:1" ht="13.5" customHeight="1" x14ac:dyDescent="0.35">
      <c r="A69" s="85" t="s">
        <v>131</v>
      </c>
    </row>
    <row r="70" spans="1:1" ht="13.5" customHeight="1" x14ac:dyDescent="0.35">
      <c r="A70" s="84"/>
    </row>
    <row r="71" spans="1:1" ht="13.5" customHeight="1" x14ac:dyDescent="0.35">
      <c r="A71" s="85" t="s">
        <v>111</v>
      </c>
    </row>
    <row r="72" spans="1:1" ht="13.5" customHeight="1" x14ac:dyDescent="0.35">
      <c r="A72" s="84" t="s">
        <v>162</v>
      </c>
    </row>
    <row r="73" spans="1:1" ht="13.5" customHeight="1" x14ac:dyDescent="0.35">
      <c r="A73" s="85" t="s">
        <v>163</v>
      </c>
    </row>
    <row r="74" spans="1:1" ht="13.5" customHeight="1" x14ac:dyDescent="0.35">
      <c r="A74" s="84" t="s">
        <v>164</v>
      </c>
    </row>
    <row r="75" spans="1:1" ht="13.5" customHeight="1" x14ac:dyDescent="0.35">
      <c r="A75" s="85" t="s">
        <v>115</v>
      </c>
    </row>
    <row r="76" spans="1:1" ht="13.5" customHeight="1" x14ac:dyDescent="0.35">
      <c r="A76" s="84" t="s">
        <v>165</v>
      </c>
    </row>
    <row r="77" spans="1:1" ht="13.5" customHeight="1" x14ac:dyDescent="0.35">
      <c r="A77" s="85" t="s">
        <v>166</v>
      </c>
    </row>
    <row r="78" spans="1:1" ht="13.5" customHeight="1" x14ac:dyDescent="0.35">
      <c r="A78" s="84" t="s">
        <v>167</v>
      </c>
    </row>
    <row r="79" spans="1:1" ht="13.5" customHeight="1" x14ac:dyDescent="0.35">
      <c r="A79" s="85" t="s">
        <v>168</v>
      </c>
    </row>
    <row r="80" spans="1:1" ht="13.5" customHeight="1" x14ac:dyDescent="0.35">
      <c r="A80" s="84"/>
    </row>
    <row r="81" spans="1:1" ht="13.5" customHeight="1" x14ac:dyDescent="0.35">
      <c r="A81" s="85" t="s">
        <v>169</v>
      </c>
    </row>
    <row r="82" spans="1:1" ht="13.5" customHeight="1" x14ac:dyDescent="0.35">
      <c r="A82" s="84" t="s">
        <v>170</v>
      </c>
    </row>
    <row r="83" spans="1:1" ht="13.5" customHeight="1" x14ac:dyDescent="0.35">
      <c r="A83" s="85" t="s">
        <v>171</v>
      </c>
    </row>
    <row r="84" spans="1:1" ht="13.5" customHeight="1" x14ac:dyDescent="0.35">
      <c r="A84" s="84" t="s">
        <v>172</v>
      </c>
    </row>
    <row r="85" spans="1:1" ht="13.5" customHeight="1" x14ac:dyDescent="0.35">
      <c r="A85" s="85" t="s">
        <v>173</v>
      </c>
    </row>
    <row r="86" spans="1:1" ht="13.5" customHeight="1" x14ac:dyDescent="0.35">
      <c r="A86" s="84" t="s">
        <v>174</v>
      </c>
    </row>
    <row r="87" spans="1:1" ht="13.5" customHeight="1" x14ac:dyDescent="0.35">
      <c r="A87" s="85" t="s">
        <v>175</v>
      </c>
    </row>
    <row r="88" spans="1:1" ht="13.5" customHeight="1" x14ac:dyDescent="0.35">
      <c r="A88" s="84" t="s">
        <v>176</v>
      </c>
    </row>
    <row r="89" spans="1:1" ht="13.5" customHeight="1" x14ac:dyDescent="0.35">
      <c r="A89" s="85" t="s">
        <v>177</v>
      </c>
    </row>
    <row r="90" spans="1:1" ht="13.5" customHeight="1" x14ac:dyDescent="0.35">
      <c r="A90" s="84" t="s">
        <v>178</v>
      </c>
    </row>
    <row r="91" spans="1:1" ht="13.5" customHeight="1" x14ac:dyDescent="0.35">
      <c r="A91" s="85" t="s">
        <v>179</v>
      </c>
    </row>
    <row r="92" spans="1:1" ht="13.5" customHeight="1" x14ac:dyDescent="0.35">
      <c r="A92" s="84" t="s">
        <v>180</v>
      </c>
    </row>
    <row r="93" spans="1:1" ht="13.5" customHeight="1" x14ac:dyDescent="0.35">
      <c r="A93" s="85" t="s">
        <v>181</v>
      </c>
    </row>
    <row r="94" spans="1:1" ht="13.5" customHeight="1" x14ac:dyDescent="0.35">
      <c r="A94" s="84" t="s">
        <v>182</v>
      </c>
    </row>
    <row r="95" spans="1:1" ht="13.5" customHeight="1" x14ac:dyDescent="0.35">
      <c r="A95" s="85" t="s">
        <v>183</v>
      </c>
    </row>
    <row r="96" spans="1:1" ht="13.5" customHeight="1" x14ac:dyDescent="0.35">
      <c r="A96" s="84" t="s">
        <v>184</v>
      </c>
    </row>
    <row r="97" spans="1:1" ht="13.5" customHeight="1" x14ac:dyDescent="0.35">
      <c r="A97" s="85" t="s">
        <v>185</v>
      </c>
    </row>
    <row r="98" spans="1:1" ht="13.5" customHeight="1" x14ac:dyDescent="0.35">
      <c r="A98" s="84"/>
    </row>
    <row r="99" spans="1:1" ht="13.5" customHeight="1" x14ac:dyDescent="0.35">
      <c r="A99" s="85" t="s">
        <v>186</v>
      </c>
    </row>
    <row r="100" spans="1:1" ht="13.5" customHeight="1" x14ac:dyDescent="0.35">
      <c r="A100" s="84" t="s">
        <v>187</v>
      </c>
    </row>
    <row r="101" spans="1:1" ht="13.5" customHeight="1" x14ac:dyDescent="0.35">
      <c r="A101" s="85" t="s">
        <v>188</v>
      </c>
    </row>
    <row r="102" spans="1:1" ht="13.5" customHeight="1" x14ac:dyDescent="0.35">
      <c r="A102" s="84" t="s">
        <v>189</v>
      </c>
    </row>
    <row r="103" spans="1:1" ht="13.5" customHeight="1" x14ac:dyDescent="0.35">
      <c r="A103" s="85"/>
    </row>
    <row r="104" spans="1:1" ht="13.5" customHeight="1" x14ac:dyDescent="0.35">
      <c r="A104" s="84" t="s">
        <v>190</v>
      </c>
    </row>
    <row r="105" spans="1:1" ht="13.5" customHeight="1" x14ac:dyDescent="0.35">
      <c r="A105" s="85" t="s">
        <v>131</v>
      </c>
    </row>
    <row r="106" spans="1:1" ht="13.5" customHeight="1" x14ac:dyDescent="0.35">
      <c r="A106" s="84"/>
    </row>
    <row r="107" spans="1:1" ht="13.5" customHeight="1" x14ac:dyDescent="0.35">
      <c r="A107" s="85" t="s">
        <v>111</v>
      </c>
    </row>
    <row r="108" spans="1:1" ht="13.5" customHeight="1" x14ac:dyDescent="0.35">
      <c r="A108" s="84" t="s">
        <v>191</v>
      </c>
    </row>
    <row r="109" spans="1:1" ht="13.5" customHeight="1" x14ac:dyDescent="0.35">
      <c r="A109" s="85" t="s">
        <v>192</v>
      </c>
    </row>
    <row r="110" spans="1:1" ht="13.5" customHeight="1" x14ac:dyDescent="0.35">
      <c r="A110" s="84" t="s">
        <v>193</v>
      </c>
    </row>
    <row r="111" spans="1:1" ht="13.5" customHeight="1" x14ac:dyDescent="0.35">
      <c r="A111" s="85" t="s">
        <v>115</v>
      </c>
    </row>
    <row r="112" spans="1:1" ht="13.5" customHeight="1" x14ac:dyDescent="0.35">
      <c r="A112" s="84" t="s">
        <v>194</v>
      </c>
    </row>
    <row r="113" spans="1:1" ht="13.5" customHeight="1" x14ac:dyDescent="0.35">
      <c r="A113" s="85" t="s">
        <v>195</v>
      </c>
    </row>
    <row r="114" spans="1:1" ht="13.5" customHeight="1" x14ac:dyDescent="0.35">
      <c r="A114" s="84" t="s">
        <v>196</v>
      </c>
    </row>
    <row r="115" spans="1:1" ht="13.5" customHeight="1" x14ac:dyDescent="0.35">
      <c r="A115" s="85" t="s">
        <v>197</v>
      </c>
    </row>
    <row r="116" spans="1:1" ht="13.5" customHeight="1" x14ac:dyDescent="0.35">
      <c r="A116" s="84" t="s">
        <v>198</v>
      </c>
    </row>
    <row r="117" spans="1:1" ht="13.5" customHeight="1" x14ac:dyDescent="0.35">
      <c r="A117" s="85" t="s">
        <v>199</v>
      </c>
    </row>
    <row r="118" spans="1:1" ht="13.5" customHeight="1" x14ac:dyDescent="0.35">
      <c r="A118" s="84" t="s">
        <v>200</v>
      </c>
    </row>
    <row r="119" spans="1:1" ht="13.5" customHeight="1" x14ac:dyDescent="0.35">
      <c r="A119" s="85" t="s">
        <v>201</v>
      </c>
    </row>
    <row r="120" spans="1:1" ht="13.5" customHeight="1" x14ac:dyDescent="0.35">
      <c r="A120" s="84" t="s">
        <v>202</v>
      </c>
    </row>
    <row r="121" spans="1:1" ht="13.5" customHeight="1" x14ac:dyDescent="0.35">
      <c r="A121" s="85" t="s">
        <v>203</v>
      </c>
    </row>
    <row r="122" spans="1:1" ht="13.5" customHeight="1" x14ac:dyDescent="0.35">
      <c r="A122" s="84" t="s">
        <v>204</v>
      </c>
    </row>
    <row r="123" spans="1:1" ht="13.5" customHeight="1" x14ac:dyDescent="0.35">
      <c r="A123" s="85" t="s">
        <v>205</v>
      </c>
    </row>
    <row r="124" spans="1:1" ht="13.5" customHeight="1" x14ac:dyDescent="0.35">
      <c r="A124" s="84" t="s">
        <v>206</v>
      </c>
    </row>
    <row r="125" spans="1:1" ht="13.5" customHeight="1" x14ac:dyDescent="0.35">
      <c r="A125" s="85" t="s">
        <v>200</v>
      </c>
    </row>
    <row r="126" spans="1:1" ht="13.5" customHeight="1" x14ac:dyDescent="0.35">
      <c r="A126" s="84" t="s">
        <v>207</v>
      </c>
    </row>
    <row r="127" spans="1:1" ht="13.5" customHeight="1" x14ac:dyDescent="0.35">
      <c r="A127" s="85" t="s">
        <v>208</v>
      </c>
    </row>
    <row r="128" spans="1:1" ht="13.5" customHeight="1" x14ac:dyDescent="0.35">
      <c r="A128" s="84" t="s">
        <v>131</v>
      </c>
    </row>
    <row r="129" spans="1:1" ht="13.5" customHeight="1" x14ac:dyDescent="0.35">
      <c r="A129" s="85"/>
    </row>
    <row r="130" spans="1:1" ht="13.5" customHeight="1" x14ac:dyDescent="0.35">
      <c r="A130" s="84" t="s">
        <v>209</v>
      </c>
    </row>
    <row r="131" spans="1:1" ht="13.5" customHeight="1" x14ac:dyDescent="0.35">
      <c r="A131" s="85" t="s">
        <v>111</v>
      </c>
    </row>
    <row r="132" spans="1:1" ht="13.5" customHeight="1" x14ac:dyDescent="0.35">
      <c r="A132" s="84" t="s">
        <v>210</v>
      </c>
    </row>
    <row r="133" spans="1:1" ht="13.5" customHeight="1" x14ac:dyDescent="0.35">
      <c r="A133" s="85" t="s">
        <v>211</v>
      </c>
    </row>
    <row r="134" spans="1:1" ht="13.5" customHeight="1" x14ac:dyDescent="0.35">
      <c r="A134" s="84" t="s">
        <v>115</v>
      </c>
    </row>
    <row r="135" spans="1:1" ht="13.5" customHeight="1" x14ac:dyDescent="0.35">
      <c r="A135" s="85" t="s">
        <v>212</v>
      </c>
    </row>
    <row r="136" spans="1:1" ht="13.5" customHeight="1" x14ac:dyDescent="0.35">
      <c r="A136" s="84" t="s">
        <v>213</v>
      </c>
    </row>
    <row r="137" spans="1:1" ht="13.5" customHeight="1" x14ac:dyDescent="0.35">
      <c r="A137" s="85"/>
    </row>
    <row r="138" spans="1:1" ht="13.5" customHeight="1" x14ac:dyDescent="0.35">
      <c r="A138" s="84" t="s">
        <v>214</v>
      </c>
    </row>
    <row r="139" spans="1:1" ht="13.5" customHeight="1" x14ac:dyDescent="0.35">
      <c r="A139" s="85" t="s">
        <v>215</v>
      </c>
    </row>
    <row r="140" spans="1:1" ht="13.5" customHeight="1" x14ac:dyDescent="0.35">
      <c r="A140" s="84" t="s">
        <v>216</v>
      </c>
    </row>
    <row r="141" spans="1:1" ht="13.5" customHeight="1" x14ac:dyDescent="0.35">
      <c r="A141" s="85" t="s">
        <v>217</v>
      </c>
    </row>
    <row r="142" spans="1:1" ht="13.5" customHeight="1" x14ac:dyDescent="0.35">
      <c r="A142" s="84" t="s">
        <v>218</v>
      </c>
    </row>
    <row r="143" spans="1:1" ht="13.5" customHeight="1" x14ac:dyDescent="0.35">
      <c r="A143" s="85" t="s">
        <v>219</v>
      </c>
    </row>
    <row r="144" spans="1:1" ht="13.5" customHeight="1" x14ac:dyDescent="0.35">
      <c r="A144" s="84"/>
    </row>
    <row r="145" spans="1:1" ht="13.5" customHeight="1" x14ac:dyDescent="0.35">
      <c r="A145" s="85" t="s">
        <v>160</v>
      </c>
    </row>
    <row r="146" spans="1:1" ht="13.5" customHeight="1" x14ac:dyDescent="0.35">
      <c r="A146" s="84" t="s">
        <v>220</v>
      </c>
    </row>
    <row r="147" spans="1:1" ht="13.5" customHeight="1" x14ac:dyDescent="0.35">
      <c r="A147" s="85" t="s">
        <v>158</v>
      </c>
    </row>
    <row r="148" spans="1:1" ht="13.5" customHeight="1" x14ac:dyDescent="0.35">
      <c r="A148" s="84" t="s">
        <v>221</v>
      </c>
    </row>
    <row r="149" spans="1:1" ht="13.5" customHeight="1" x14ac:dyDescent="0.35">
      <c r="A149" s="85" t="s">
        <v>131</v>
      </c>
    </row>
    <row r="150" spans="1:1" ht="13.5" customHeight="1" x14ac:dyDescent="0.35">
      <c r="A150" s="84"/>
    </row>
    <row r="151" spans="1:1" ht="13.5" customHeight="1" x14ac:dyDescent="0.35">
      <c r="A151" s="85" t="s">
        <v>111</v>
      </c>
    </row>
    <row r="152" spans="1:1" ht="13.5" customHeight="1" x14ac:dyDescent="0.35">
      <c r="A152" s="84" t="s">
        <v>222</v>
      </c>
    </row>
    <row r="153" spans="1:1" ht="13.5" customHeight="1" x14ac:dyDescent="0.35">
      <c r="A153" s="85" t="s">
        <v>115</v>
      </c>
    </row>
    <row r="154" spans="1:1" ht="13.5" customHeight="1" x14ac:dyDescent="0.35">
      <c r="A154" s="84" t="s">
        <v>223</v>
      </c>
    </row>
    <row r="155" spans="1:1" ht="13.5" customHeight="1" x14ac:dyDescent="0.35">
      <c r="A155" s="85" t="s">
        <v>224</v>
      </c>
    </row>
    <row r="156" spans="1:1" ht="13.5" customHeight="1" x14ac:dyDescent="0.35">
      <c r="A156" s="84" t="s">
        <v>225</v>
      </c>
    </row>
    <row r="157" spans="1:1" ht="13.5" customHeight="1" x14ac:dyDescent="0.35">
      <c r="A157" s="85" t="s">
        <v>226</v>
      </c>
    </row>
    <row r="158" spans="1:1" ht="13.5" customHeight="1" x14ac:dyDescent="0.35">
      <c r="A158" s="84" t="s">
        <v>131</v>
      </c>
    </row>
    <row r="159" spans="1:1" ht="13.5" customHeight="1" x14ac:dyDescent="0.35">
      <c r="A159" s="85"/>
    </row>
    <row r="160" spans="1:1" ht="13.5" customHeight="1" x14ac:dyDescent="0.35">
      <c r="A160" s="84" t="s">
        <v>227</v>
      </c>
    </row>
    <row r="161" spans="1:1" ht="13.5" customHeight="1" x14ac:dyDescent="0.35">
      <c r="A161" s="85" t="s">
        <v>111</v>
      </c>
    </row>
    <row r="162" spans="1:1" ht="13.5" customHeight="1" x14ac:dyDescent="0.35">
      <c r="A162" s="84" t="s">
        <v>228</v>
      </c>
    </row>
    <row r="163" spans="1:1" ht="13.5" customHeight="1" x14ac:dyDescent="0.35">
      <c r="A163" s="85" t="s">
        <v>229</v>
      </c>
    </row>
    <row r="164" spans="1:1" ht="13.5" customHeight="1" x14ac:dyDescent="0.35">
      <c r="A164" s="84" t="s">
        <v>230</v>
      </c>
    </row>
    <row r="165" spans="1:1" ht="13.5" customHeight="1" x14ac:dyDescent="0.35">
      <c r="A165" s="85" t="s">
        <v>115</v>
      </c>
    </row>
    <row r="166" spans="1:1" ht="13.5" customHeight="1" x14ac:dyDescent="0.35">
      <c r="A166" s="84" t="s">
        <v>231</v>
      </c>
    </row>
    <row r="167" spans="1:1" ht="13.5" customHeight="1" x14ac:dyDescent="0.35">
      <c r="A167" s="85" t="s">
        <v>232</v>
      </c>
    </row>
    <row r="168" spans="1:1" ht="13.5" customHeight="1" x14ac:dyDescent="0.35">
      <c r="A168" s="84" t="s">
        <v>233</v>
      </c>
    </row>
    <row r="169" spans="1:1" ht="13.5" customHeight="1" x14ac:dyDescent="0.35">
      <c r="A169" s="85" t="s">
        <v>234</v>
      </c>
    </row>
    <row r="170" spans="1:1" ht="13.5" customHeight="1" x14ac:dyDescent="0.35">
      <c r="A170" s="84" t="s">
        <v>235</v>
      </c>
    </row>
    <row r="171" spans="1:1" ht="13.5" customHeight="1" x14ac:dyDescent="0.35">
      <c r="A171" s="85" t="s">
        <v>236</v>
      </c>
    </row>
    <row r="172" spans="1:1" ht="13.5" customHeight="1" x14ac:dyDescent="0.35">
      <c r="A172" s="84"/>
    </row>
    <row r="173" spans="1:1" ht="13.5" customHeight="1" x14ac:dyDescent="0.35">
      <c r="A173" s="85" t="s">
        <v>237</v>
      </c>
    </row>
    <row r="174" spans="1:1" ht="13.5" customHeight="1" x14ac:dyDescent="0.35">
      <c r="A174" s="84"/>
    </row>
    <row r="175" spans="1:1" ht="13.5" customHeight="1" x14ac:dyDescent="0.35">
      <c r="A175" s="85" t="s">
        <v>238</v>
      </c>
    </row>
    <row r="176" spans="1:1" ht="13.5" customHeight="1" x14ac:dyDescent="0.35">
      <c r="A176" s="84" t="s">
        <v>239</v>
      </c>
    </row>
    <row r="177" spans="1:1" ht="13.5" customHeight="1" x14ac:dyDescent="0.35">
      <c r="A177" s="85" t="s">
        <v>240</v>
      </c>
    </row>
    <row r="178" spans="1:1" ht="13.5" customHeight="1" x14ac:dyDescent="0.35">
      <c r="A178" s="84"/>
    </row>
    <row r="179" spans="1:1" ht="13.5" customHeight="1" x14ac:dyDescent="0.35">
      <c r="A179" s="85" t="s">
        <v>241</v>
      </c>
    </row>
    <row r="180" spans="1:1" ht="13.5" customHeight="1" x14ac:dyDescent="0.35">
      <c r="A180" s="84" t="s">
        <v>242</v>
      </c>
    </row>
    <row r="181" spans="1:1" ht="13.5" customHeight="1" x14ac:dyDescent="0.35">
      <c r="A181" s="85" t="s">
        <v>243</v>
      </c>
    </row>
    <row r="182" spans="1:1" ht="13.5" customHeight="1" x14ac:dyDescent="0.35">
      <c r="A182" s="84" t="s">
        <v>244</v>
      </c>
    </row>
    <row r="183" spans="1:1" ht="13.5" customHeight="1" x14ac:dyDescent="0.35">
      <c r="A183" s="85" t="s">
        <v>245</v>
      </c>
    </row>
    <row r="184" spans="1:1" ht="13.5" customHeight="1" x14ac:dyDescent="0.35">
      <c r="A184" s="84"/>
    </row>
    <row r="185" spans="1:1" ht="13.5" customHeight="1" x14ac:dyDescent="0.35">
      <c r="A185" s="85" t="s">
        <v>246</v>
      </c>
    </row>
    <row r="186" spans="1:1" ht="13.5" customHeight="1" x14ac:dyDescent="0.35">
      <c r="A186" s="84" t="s">
        <v>247</v>
      </c>
    </row>
    <row r="187" spans="1:1" ht="13.5" customHeight="1" x14ac:dyDescent="0.35">
      <c r="A187" s="85" t="s">
        <v>248</v>
      </c>
    </row>
    <row r="188" spans="1:1" ht="13.5" customHeight="1" x14ac:dyDescent="0.35">
      <c r="A188" s="84" t="s">
        <v>249</v>
      </c>
    </row>
    <row r="189" spans="1:1" ht="13.5" customHeight="1" x14ac:dyDescent="0.35">
      <c r="A189" s="85" t="s">
        <v>250</v>
      </c>
    </row>
    <row r="190" spans="1:1" ht="13.5" customHeight="1" x14ac:dyDescent="0.35">
      <c r="A190" s="84" t="s">
        <v>189</v>
      </c>
    </row>
    <row r="191" spans="1:1" ht="13.5" customHeight="1" x14ac:dyDescent="0.35">
      <c r="A191" s="85"/>
    </row>
    <row r="192" spans="1:1" ht="13.5" customHeight="1" x14ac:dyDescent="0.35">
      <c r="A192" s="84" t="s">
        <v>251</v>
      </c>
    </row>
    <row r="193" spans="1:1" ht="13.5" customHeight="1" x14ac:dyDescent="0.35">
      <c r="A193" s="85" t="s">
        <v>252</v>
      </c>
    </row>
    <row r="194" spans="1:1" ht="13.5" customHeight="1" x14ac:dyDescent="0.35">
      <c r="A194" s="84" t="s">
        <v>253</v>
      </c>
    </row>
    <row r="195" spans="1:1" ht="13.5" customHeight="1" x14ac:dyDescent="0.35">
      <c r="A195" s="85" t="s">
        <v>254</v>
      </c>
    </row>
    <row r="196" spans="1:1" ht="13.5" customHeight="1" x14ac:dyDescent="0.35">
      <c r="A196" s="84"/>
    </row>
    <row r="197" spans="1:1" ht="13.5" customHeight="1" x14ac:dyDescent="0.35">
      <c r="A197" s="85" t="s">
        <v>255</v>
      </c>
    </row>
    <row r="198" spans="1:1" ht="13.5" customHeight="1" x14ac:dyDescent="0.35">
      <c r="A198" s="84" t="s">
        <v>256</v>
      </c>
    </row>
    <row r="199" spans="1:1" ht="13.5" customHeight="1" x14ac:dyDescent="0.35">
      <c r="A199" s="85" t="s">
        <v>257</v>
      </c>
    </row>
    <row r="200" spans="1:1" ht="13.5" customHeight="1" x14ac:dyDescent="0.35">
      <c r="A200" s="84" t="s">
        <v>258</v>
      </c>
    </row>
    <row r="201" spans="1:1" ht="13.5" customHeight="1" x14ac:dyDescent="0.35">
      <c r="A201" s="85" t="s">
        <v>259</v>
      </c>
    </row>
    <row r="202" spans="1:1" ht="13.5" customHeight="1" x14ac:dyDescent="0.35">
      <c r="A202" s="84" t="s">
        <v>143</v>
      </c>
    </row>
    <row r="203" spans="1:1" ht="13.5" customHeight="1" x14ac:dyDescent="0.35">
      <c r="A203" s="85" t="s">
        <v>144</v>
      </c>
    </row>
    <row r="204" spans="1:1" ht="13.5" customHeight="1" x14ac:dyDescent="0.35">
      <c r="A204" s="84"/>
    </row>
    <row r="205" spans="1:1" ht="13.5" customHeight="1" x14ac:dyDescent="0.35">
      <c r="A205" s="85" t="s">
        <v>260</v>
      </c>
    </row>
    <row r="206" spans="1:1" ht="13.5" customHeight="1" x14ac:dyDescent="0.35">
      <c r="A206" s="84" t="s">
        <v>261</v>
      </c>
    </row>
    <row r="207" spans="1:1" ht="13.5" customHeight="1" x14ac:dyDescent="0.35">
      <c r="A207" s="85"/>
    </row>
    <row r="208" spans="1:1" ht="13.5" customHeight="1" x14ac:dyDescent="0.35">
      <c r="A208" s="84" t="s">
        <v>262</v>
      </c>
    </row>
    <row r="209" spans="1:1" ht="13.5" customHeight="1" x14ac:dyDescent="0.35">
      <c r="A209" s="85" t="s">
        <v>263</v>
      </c>
    </row>
    <row r="210" spans="1:1" ht="13.5" customHeight="1" x14ac:dyDescent="0.35">
      <c r="A210" s="84" t="s">
        <v>264</v>
      </c>
    </row>
    <row r="211" spans="1:1" ht="13.5" customHeight="1" x14ac:dyDescent="0.35">
      <c r="A211" s="85" t="s">
        <v>265</v>
      </c>
    </row>
    <row r="212" spans="1:1" ht="13.5" customHeight="1" x14ac:dyDescent="0.35">
      <c r="A212" s="84" t="s">
        <v>266</v>
      </c>
    </row>
    <row r="213" spans="1:1" ht="13.5" customHeight="1" x14ac:dyDescent="0.35">
      <c r="A213" s="85"/>
    </row>
    <row r="214" spans="1:1" ht="13.5" customHeight="1" x14ac:dyDescent="0.35">
      <c r="A214" s="84" t="s">
        <v>267</v>
      </c>
    </row>
    <row r="215" spans="1:1" ht="13.5" customHeight="1" x14ac:dyDescent="0.35">
      <c r="A215" s="85" t="s">
        <v>268</v>
      </c>
    </row>
    <row r="216" spans="1:1" ht="13.5" customHeight="1" x14ac:dyDescent="0.35">
      <c r="A216" s="84" t="s">
        <v>269</v>
      </c>
    </row>
    <row r="217" spans="1:1" ht="13.5" customHeight="1" x14ac:dyDescent="0.35">
      <c r="A217" s="85" t="s">
        <v>270</v>
      </c>
    </row>
    <row r="218" spans="1:1" ht="13.5" customHeight="1" x14ac:dyDescent="0.35">
      <c r="A218" s="84" t="s">
        <v>131</v>
      </c>
    </row>
    <row r="219" spans="1:1" ht="13.5" customHeight="1" x14ac:dyDescent="0.35">
      <c r="A219" s="85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Rep_1</vt:lpstr>
      <vt:lpstr>Rep_2</vt:lpstr>
      <vt:lpstr>Rep_3</vt:lpstr>
      <vt:lpstr>All_Deals</vt:lpstr>
      <vt:lpstr>Settings</vt:lpstr>
      <vt:lpstr>Apps_Script_Code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Suhaj</cp:lastModifiedBy>
  <cp:revision>4</cp:revision>
  <dcterms:created xsi:type="dcterms:W3CDTF">2026-05-06T03:34:41Z</dcterms:created>
  <dcterms:modified xsi:type="dcterms:W3CDTF">2026-05-31T19:03:07Z</dcterms:modified>
  <dc:language>en-US</dc:language>
</cp:coreProperties>
</file>